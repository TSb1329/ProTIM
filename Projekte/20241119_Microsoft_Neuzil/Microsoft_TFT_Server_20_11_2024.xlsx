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I4next-s24\d\Projekte\20241119_Microsoft_Neuzil\"/>
    </mc:Choice>
  </mc:AlternateContent>
  <xr:revisionPtr revIDLastSave="0" documentId="13_ncr:1_{17ACBA5E-550D-4257-8D0D-40AFA553F019}" xr6:coauthVersionLast="47" xr6:coauthVersionMax="47" xr10:uidLastSave="{00000000-0000-0000-0000-000000000000}"/>
  <bookViews>
    <workbookView xWindow="-108" yWindow="-108" windowWidth="23256" windowHeight="12456" activeTab="1" xr2:uid="{3132ADCD-036F-469B-9249-2BD4E6409005}"/>
  </bookViews>
  <sheets>
    <sheet name="TFT" sheetId="1" r:id="rId1"/>
    <sheet name="Ser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7" i="2" l="1"/>
  <c r="E83" i="2"/>
  <c r="E57" i="2"/>
  <c r="E15" i="2"/>
  <c r="E9" i="2"/>
  <c r="E5" i="2"/>
  <c r="C9" i="2"/>
  <c r="C107" i="2"/>
  <c r="C83" i="2"/>
  <c r="C57" i="2"/>
  <c r="C45" i="2"/>
  <c r="E45" i="2" s="1"/>
  <c r="C15" i="2"/>
</calcChain>
</file>

<file path=xl/sharedStrings.xml><?xml version="1.0" encoding="utf-8"?>
<sst xmlns="http://schemas.openxmlformats.org/spreadsheetml/2006/main" count="225" uniqueCount="122">
  <si>
    <t xml:space="preserve">Marke </t>
  </si>
  <si>
    <t xml:space="preserve">Type </t>
  </si>
  <si>
    <t>Seriennummer</t>
  </si>
  <si>
    <t>Dell</t>
  </si>
  <si>
    <t>E2213c</t>
  </si>
  <si>
    <t>CN0KN2Y3641802CC3CEM</t>
  </si>
  <si>
    <t>E2210f</t>
  </si>
  <si>
    <t>CN01YPP77287221J59CM</t>
  </si>
  <si>
    <t>P2213f</t>
  </si>
  <si>
    <t>CN044FGY7287244JCKAM</t>
  </si>
  <si>
    <t>P2213t</t>
  </si>
  <si>
    <t>CN0Y57VF7444537M293S</t>
  </si>
  <si>
    <t>Samsung</t>
  </si>
  <si>
    <t>S24A650D</t>
  </si>
  <si>
    <t>ZSMPHVSB700070P</t>
  </si>
  <si>
    <t>CN0Y57VF744454BPE2HS</t>
  </si>
  <si>
    <t>CN0KN2Y36418038G0FZM</t>
  </si>
  <si>
    <t>CN0KN2Y3641802CC3DSM</t>
  </si>
  <si>
    <t>E2214Hb</t>
  </si>
  <si>
    <t>CN02RK1Y7426147S1U4M</t>
  </si>
  <si>
    <t>HP</t>
  </si>
  <si>
    <t>Z27q</t>
  </si>
  <si>
    <t>CN40522CCY</t>
  </si>
  <si>
    <t>U2412Mc</t>
  </si>
  <si>
    <t>CN0YPPY0TV1008BS2G5UA10</t>
  </si>
  <si>
    <t>CN01YPP7728722161RNL</t>
  </si>
  <si>
    <t>2243WM</t>
  </si>
  <si>
    <t>MY22HS2Q802041D</t>
  </si>
  <si>
    <t>ZSMPHVSB700080Z</t>
  </si>
  <si>
    <t>ZSMPHVSB700027N</t>
  </si>
  <si>
    <t>Lenovo</t>
  </si>
  <si>
    <t>L200pW0</t>
  </si>
  <si>
    <t>V7A8090</t>
  </si>
  <si>
    <t>E2316H</t>
  </si>
  <si>
    <t>CN01521F728726BACH0IA01</t>
  </si>
  <si>
    <t>ZSMPHVSB700092K</t>
  </si>
  <si>
    <t xml:space="preserve">DL360 G5 </t>
  </si>
  <si>
    <t>CZJ927A1VF</t>
  </si>
  <si>
    <t>3SD0GA0W</t>
  </si>
  <si>
    <t>3SD0HT47</t>
  </si>
  <si>
    <t>R730xd</t>
  </si>
  <si>
    <t>CN037G1NFCT00768011SA03</t>
  </si>
  <si>
    <t>W0K0C5FA</t>
  </si>
  <si>
    <t>W0K0C4NR</t>
  </si>
  <si>
    <t>LDA0007JH5DZKG</t>
  </si>
  <si>
    <t>LDA0007JHHE24G</t>
  </si>
  <si>
    <t>LDA0007JHDLJ7G</t>
  </si>
  <si>
    <t>LDA0007JHHE3AG</t>
  </si>
  <si>
    <t>LDA0007JH8ZS4G</t>
  </si>
  <si>
    <t>LDA0007JHHKSYG</t>
  </si>
  <si>
    <t>LBA0007JHG3ZUC</t>
  </si>
  <si>
    <t>LDA0007JHEX5UG</t>
  </si>
  <si>
    <t>LDA0007JHHE37G</t>
  </si>
  <si>
    <t>LDA0007JH507LG</t>
  </si>
  <si>
    <t>LBA0007JH8SZXC</t>
  </si>
  <si>
    <t>LDA0007JHH9G0G</t>
  </si>
  <si>
    <t xml:space="preserve">Seriennummer </t>
  </si>
  <si>
    <t>*HDD/SN</t>
  </si>
  <si>
    <t>Nutanix</t>
  </si>
  <si>
    <t>18SM38100240</t>
  </si>
  <si>
    <t>NXS2U2NL12G500</t>
  </si>
  <si>
    <t>Seagate</t>
  </si>
  <si>
    <t>ZA1ANDWP</t>
  </si>
  <si>
    <t>ZA1ANFEY</t>
  </si>
  <si>
    <t>ZA1AN5ZH</t>
  </si>
  <si>
    <t xml:space="preserve">Western Digital </t>
  </si>
  <si>
    <t>VGK6J51G</t>
  </si>
  <si>
    <t>S3F6NX0J615264</t>
  </si>
  <si>
    <t>18SM38070046</t>
  </si>
  <si>
    <t>S3F6NX0JB03453</t>
  </si>
  <si>
    <t>ZA1A6PH0</t>
  </si>
  <si>
    <t>ZA1A6PWK</t>
  </si>
  <si>
    <t>ZA1A6QYC</t>
  </si>
  <si>
    <t>ZA1A6QDL</t>
  </si>
  <si>
    <t>S3F6NX0JB03456</t>
  </si>
  <si>
    <t>ZA1A7HG0</t>
  </si>
  <si>
    <t>ZA1A7HEN</t>
  </si>
  <si>
    <t>S3F6NX0J611412</t>
  </si>
  <si>
    <t>S3F6NX0J611407</t>
  </si>
  <si>
    <t>ZA1A6PFG</t>
  </si>
  <si>
    <t>ZA1A7HNH</t>
  </si>
  <si>
    <t>18SM38080059</t>
  </si>
  <si>
    <t>ZA1AEEFQ</t>
  </si>
  <si>
    <t>ZA1AJ93X</t>
  </si>
  <si>
    <t>S3F6NX0JB05140</t>
  </si>
  <si>
    <t>ZA1AEFHC</t>
  </si>
  <si>
    <t>ZA1AFRF9</t>
  </si>
  <si>
    <t>ZA1AEEJ2</t>
  </si>
  <si>
    <t>ZA1AEEGK</t>
  </si>
  <si>
    <t>S3F6NX0JB05143</t>
  </si>
  <si>
    <t>ZA1AEFKB</t>
  </si>
  <si>
    <t>ZA1AFR3L</t>
  </si>
  <si>
    <t>Intel</t>
  </si>
  <si>
    <t>BTYG01810CT81P9DGN</t>
  </si>
  <si>
    <t>CN037G1NFCT00768011WA03</t>
  </si>
  <si>
    <t>LDA0007JHBP3DG</t>
  </si>
  <si>
    <t>LDA0007JHBPT7G</t>
  </si>
  <si>
    <t>LDA0007JHJM7BG</t>
  </si>
  <si>
    <t>LDA0007JH8ZR5G</t>
  </si>
  <si>
    <t>LDA0007JHHAWDG</t>
  </si>
  <si>
    <t>LDA0007JHHZDNG</t>
  </si>
  <si>
    <t>LDA0007JHHLG0G</t>
  </si>
  <si>
    <t>LDA0007JHBSMUG</t>
  </si>
  <si>
    <t>LDA0007JHHAUYG</t>
  </si>
  <si>
    <t>LBA0007JHG5LNC</t>
  </si>
  <si>
    <t>LDA0007JH8ZT8G</t>
  </si>
  <si>
    <t>LBA0007JHH7XDC</t>
  </si>
  <si>
    <t>W0K0CAAS</t>
  </si>
  <si>
    <t>W0K0CAEQ</t>
  </si>
  <si>
    <t>WMC160137459</t>
  </si>
  <si>
    <t>WMC160133633</t>
  </si>
  <si>
    <t>WMC160118104</t>
  </si>
  <si>
    <t>WMC160119041</t>
  </si>
  <si>
    <t>WMC160137445</t>
  </si>
  <si>
    <t>6SE2EPRD</t>
  </si>
  <si>
    <t>6SE2CNHP</t>
  </si>
  <si>
    <t>S0K194V1</t>
  </si>
  <si>
    <t>S0K18P9R</t>
  </si>
  <si>
    <t>6SE2A9TD</t>
  </si>
  <si>
    <t>6SE2EXMA</t>
  </si>
  <si>
    <t xml:space="preserve">HDD nicht löschbar, HDD Snr.: </t>
  </si>
  <si>
    <t>HDD nicht löschbar, HDD Snr.: W0K0C5FA / W0K0C4NR / LDA0007JH5DZKG / LDA0007JHHE24G / LDA0007JHDLJ7G / LDA0007JHHE3AG / LDA0007JH8ZS4G / LDA0007JHHKSYG / LBA0007JHG3ZUC / LDA0007JHEX5UG / LDA0007JHHE37G / LDA0007JH507LG / LBA0007JH8SZXC / LDA0007JHH9G0G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</si>
</sst>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4D28-0E9A-4382-BC8B-FCF347396ED5}">
  <dimension ref="A1:C19"/>
  <sheetViews>
    <sheetView workbookViewId="0">
      <selection activeCell="A2" sqref="A2:C19"/>
    </sheetView>
  </sheetViews>
  <sheetFormatPr baseColWidth="10" defaultRowHeight="14.4" x14ac:dyDescent="0.3"/>
  <cols>
    <col min="3" max="3" width="26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3</v>
      </c>
      <c r="B7" t="s">
        <v>10</v>
      </c>
      <c r="C7" t="s">
        <v>15</v>
      </c>
    </row>
    <row r="8" spans="1:3" x14ac:dyDescent="0.3">
      <c r="A8" t="s">
        <v>3</v>
      </c>
      <c r="B8" t="s">
        <v>4</v>
      </c>
      <c r="C8" t="s">
        <v>16</v>
      </c>
    </row>
    <row r="9" spans="1:3" x14ac:dyDescent="0.3">
      <c r="A9" t="s">
        <v>3</v>
      </c>
      <c r="B9" t="s">
        <v>4</v>
      </c>
      <c r="C9" t="s">
        <v>17</v>
      </c>
    </row>
    <row r="10" spans="1:3" x14ac:dyDescent="0.3">
      <c r="A10" t="s">
        <v>3</v>
      </c>
      <c r="B10" t="s">
        <v>18</v>
      </c>
      <c r="C10" t="s">
        <v>19</v>
      </c>
    </row>
    <row r="11" spans="1:3" x14ac:dyDescent="0.3">
      <c r="A11" t="s">
        <v>20</v>
      </c>
      <c r="B11" t="s">
        <v>21</v>
      </c>
      <c r="C11" t="s">
        <v>22</v>
      </c>
    </row>
    <row r="12" spans="1:3" x14ac:dyDescent="0.3">
      <c r="A12" t="s">
        <v>3</v>
      </c>
      <c r="B12" t="s">
        <v>23</v>
      </c>
      <c r="C12" t="s">
        <v>24</v>
      </c>
    </row>
    <row r="13" spans="1:3" x14ac:dyDescent="0.3">
      <c r="A13" t="s">
        <v>3</v>
      </c>
      <c r="B13" t="s">
        <v>6</v>
      </c>
      <c r="C13" t="s">
        <v>25</v>
      </c>
    </row>
    <row r="14" spans="1:3" x14ac:dyDescent="0.3">
      <c r="A14" t="s">
        <v>12</v>
      </c>
      <c r="B14" t="s">
        <v>26</v>
      </c>
      <c r="C14" t="s">
        <v>27</v>
      </c>
    </row>
    <row r="15" spans="1:3" x14ac:dyDescent="0.3">
      <c r="A15" t="s">
        <v>12</v>
      </c>
      <c r="B15" t="s">
        <v>13</v>
      </c>
      <c r="C15" t="s">
        <v>28</v>
      </c>
    </row>
    <row r="16" spans="1:3" x14ac:dyDescent="0.3">
      <c r="A16" t="s">
        <v>12</v>
      </c>
      <c r="B16" t="s">
        <v>13</v>
      </c>
      <c r="C16" t="s">
        <v>29</v>
      </c>
    </row>
    <row r="17" spans="1:3" x14ac:dyDescent="0.3">
      <c r="A17" t="s">
        <v>30</v>
      </c>
      <c r="B17" t="s">
        <v>31</v>
      </c>
      <c r="C17" t="s">
        <v>32</v>
      </c>
    </row>
    <row r="18" spans="1:3" x14ac:dyDescent="0.3">
      <c r="A18" t="s">
        <v>3</v>
      </c>
      <c r="B18" t="s">
        <v>33</v>
      </c>
      <c r="C18" t="s">
        <v>34</v>
      </c>
    </row>
    <row r="19" spans="1:3" x14ac:dyDescent="0.3">
      <c r="A19" t="s">
        <v>12</v>
      </c>
      <c r="B19" t="s">
        <v>13</v>
      </c>
      <c r="C19" t="s">
        <v>35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D817-1386-445E-A53A-B1C0117920F7}">
  <dimension ref="A1:E147"/>
  <sheetViews>
    <sheetView tabSelected="1" topLeftCell="A127" zoomScaleNormal="100" workbookViewId="0">
      <selection activeCell="A129" sqref="A129"/>
    </sheetView>
  </sheetViews>
  <sheetFormatPr baseColWidth="10" defaultRowHeight="14.4" x14ac:dyDescent="0.3"/>
  <cols>
    <col min="2" max="2" width="16.5546875" bestFit="1" customWidth="1"/>
    <col min="3" max="3" width="218.33203125" bestFit="1" customWidth="1"/>
    <col min="4" max="4" width="25.77734375" bestFit="1" customWidth="1"/>
    <col min="5" max="5" width="45.44140625" bestFit="1" customWidth="1"/>
  </cols>
  <sheetData>
    <row r="1" spans="1:5" x14ac:dyDescent="0.3">
      <c r="A1" s="1" t="s">
        <v>0</v>
      </c>
      <c r="B1" s="1" t="s">
        <v>1</v>
      </c>
      <c r="C1" s="1" t="s">
        <v>56</v>
      </c>
    </row>
    <row r="2" spans="1:5" x14ac:dyDescent="0.3">
      <c r="A2" s="3" t="s">
        <v>57</v>
      </c>
    </row>
    <row r="5" spans="1:5" x14ac:dyDescent="0.3">
      <c r="D5" t="s">
        <v>120</v>
      </c>
      <c r="E5" t="str">
        <f>D5&amp;C9</f>
        <v>HDD nicht löschbar, HDD Snr.: 3SD0GA0W / 3SD0HT47</v>
      </c>
    </row>
    <row r="7" spans="1:5" x14ac:dyDescent="0.3">
      <c r="A7" s="1" t="s">
        <v>20</v>
      </c>
      <c r="B7" s="1" t="s">
        <v>36</v>
      </c>
      <c r="C7" s="1" t="s">
        <v>37</v>
      </c>
    </row>
    <row r="8" spans="1:5" x14ac:dyDescent="0.3">
      <c r="A8" s="3" t="s">
        <v>20</v>
      </c>
    </row>
    <row r="9" spans="1:5" x14ac:dyDescent="0.3">
      <c r="A9" s="2" t="s">
        <v>38</v>
      </c>
      <c r="C9" t="str">
        <f>A9&amp;" / "&amp;A11</f>
        <v>3SD0GA0W / 3SD0HT47</v>
      </c>
      <c r="D9" t="s">
        <v>120</v>
      </c>
      <c r="E9" t="str">
        <f>D9&amp;C9</f>
        <v>HDD nicht löschbar, HDD Snr.: 3SD0GA0W / 3SD0HT47</v>
      </c>
    </row>
    <row r="10" spans="1:5" x14ac:dyDescent="0.3">
      <c r="A10" s="3" t="s">
        <v>20</v>
      </c>
    </row>
    <row r="11" spans="1:5" x14ac:dyDescent="0.3">
      <c r="A11" s="2" t="s">
        <v>39</v>
      </c>
    </row>
    <row r="13" spans="1:5" x14ac:dyDescent="0.3">
      <c r="A13" s="1" t="s">
        <v>3</v>
      </c>
      <c r="B13" s="1" t="s">
        <v>40</v>
      </c>
      <c r="C13" s="1" t="s">
        <v>41</v>
      </c>
    </row>
    <row r="14" spans="1:5" x14ac:dyDescent="0.3">
      <c r="A14" s="3" t="s">
        <v>3</v>
      </c>
    </row>
    <row r="15" spans="1:5" s="5" customFormat="1" x14ac:dyDescent="0.3">
      <c r="A15" s="4" t="s">
        <v>42</v>
      </c>
      <c r="C15" s="5" t="str">
        <f>A15&amp;" / "&amp;A17&amp;" / "&amp;A19&amp;" / "&amp;A21&amp;" / "&amp;A23&amp;" / "&amp;A25&amp;" / "&amp;A27&amp;" / "&amp;A29&amp;" / "&amp;A31&amp;" / "&amp;A33&amp;" / "&amp;A35&amp;" / "&amp;A37&amp;" / "&amp;A39&amp;" / "&amp;A41</f>
        <v>W0K0C5FA / W0K0C4NR / LDA0007JH5DZKG / LDA0007JHHE24G / LDA0007JHDLJ7G / LDA0007JHHE3AG / LDA0007JH8ZS4G / LDA0007JHHKSYG / LBA0007JHG3ZUC / LDA0007JHEX5UG / LDA0007JHHE37G / LDA0007JH507LG / LBA0007JH8SZXC / LDA0007JHH9G0G</v>
      </c>
      <c r="D15" t="s">
        <v>120</v>
      </c>
      <c r="E15" t="str">
        <f>D15&amp;C15</f>
        <v>HDD nicht löschbar, HDD Snr.: W0K0C5FA / W0K0C4NR / LDA0007JH5DZKG / LDA0007JHHE24G / LDA0007JHDLJ7G / LDA0007JHHE3AG / LDA0007JH8ZS4G / LDA0007JHHKSYG / LBA0007JHG3ZUC / LDA0007JHEX5UG / LDA0007JHHE37G / LDA0007JH507LG / LBA0007JH8SZXC / LDA0007JHH9G0G</v>
      </c>
    </row>
    <row r="16" spans="1:5" x14ac:dyDescent="0.3">
      <c r="A16" s="3" t="s">
        <v>3</v>
      </c>
      <c r="E16" t="s">
        <v>121</v>
      </c>
    </row>
    <row r="17" spans="1:1" x14ac:dyDescent="0.3">
      <c r="A17" s="2" t="s">
        <v>43</v>
      </c>
    </row>
    <row r="18" spans="1:1" x14ac:dyDescent="0.3">
      <c r="A18" s="3" t="s">
        <v>3</v>
      </c>
    </row>
    <row r="19" spans="1:1" x14ac:dyDescent="0.3">
      <c r="A19" s="2" t="s">
        <v>44</v>
      </c>
    </row>
    <row r="20" spans="1:1" x14ac:dyDescent="0.3">
      <c r="A20" s="3" t="s">
        <v>3</v>
      </c>
    </row>
    <row r="21" spans="1:1" x14ac:dyDescent="0.3">
      <c r="A21" s="2" t="s">
        <v>45</v>
      </c>
    </row>
    <row r="22" spans="1:1" x14ac:dyDescent="0.3">
      <c r="A22" s="3" t="s">
        <v>3</v>
      </c>
    </row>
    <row r="23" spans="1:1" x14ac:dyDescent="0.3">
      <c r="A23" s="2" t="s">
        <v>46</v>
      </c>
    </row>
    <row r="24" spans="1:1" x14ac:dyDescent="0.3">
      <c r="A24" s="3" t="s">
        <v>3</v>
      </c>
    </row>
    <row r="25" spans="1:1" x14ac:dyDescent="0.3">
      <c r="A25" s="2" t="s">
        <v>47</v>
      </c>
    </row>
    <row r="26" spans="1:1" x14ac:dyDescent="0.3">
      <c r="A26" s="3" t="s">
        <v>3</v>
      </c>
    </row>
    <row r="27" spans="1:1" x14ac:dyDescent="0.3">
      <c r="A27" s="2" t="s">
        <v>48</v>
      </c>
    </row>
    <row r="28" spans="1:1" x14ac:dyDescent="0.3">
      <c r="A28" s="3" t="s">
        <v>3</v>
      </c>
    </row>
    <row r="29" spans="1:1" x14ac:dyDescent="0.3">
      <c r="A29" s="2" t="s">
        <v>49</v>
      </c>
    </row>
    <row r="30" spans="1:1" x14ac:dyDescent="0.3">
      <c r="A30" s="3" t="s">
        <v>3</v>
      </c>
    </row>
    <row r="31" spans="1:1" x14ac:dyDescent="0.3">
      <c r="A31" s="2" t="s">
        <v>50</v>
      </c>
    </row>
    <row r="32" spans="1:1" x14ac:dyDescent="0.3">
      <c r="A32" s="3" t="s">
        <v>3</v>
      </c>
    </row>
    <row r="33" spans="1:5" x14ac:dyDescent="0.3">
      <c r="A33" s="2" t="s">
        <v>51</v>
      </c>
    </row>
    <row r="34" spans="1:5" x14ac:dyDescent="0.3">
      <c r="A34" s="3" t="s">
        <v>3</v>
      </c>
    </row>
    <row r="35" spans="1:5" x14ac:dyDescent="0.3">
      <c r="A35" s="2" t="s">
        <v>52</v>
      </c>
    </row>
    <row r="36" spans="1:5" x14ac:dyDescent="0.3">
      <c r="A36" s="3" t="s">
        <v>3</v>
      </c>
    </row>
    <row r="37" spans="1:5" x14ac:dyDescent="0.3">
      <c r="A37" s="2" t="s">
        <v>53</v>
      </c>
    </row>
    <row r="38" spans="1:5" x14ac:dyDescent="0.3">
      <c r="A38" s="3" t="s">
        <v>3</v>
      </c>
    </row>
    <row r="39" spans="1:5" x14ac:dyDescent="0.3">
      <c r="A39" s="2" t="s">
        <v>54</v>
      </c>
    </row>
    <row r="40" spans="1:5" x14ac:dyDescent="0.3">
      <c r="A40" s="3" t="s">
        <v>3</v>
      </c>
    </row>
    <row r="41" spans="1:5" x14ac:dyDescent="0.3">
      <c r="A41" s="2" t="s">
        <v>55</v>
      </c>
    </row>
    <row r="43" spans="1:5" x14ac:dyDescent="0.3">
      <c r="A43" s="1" t="s">
        <v>58</v>
      </c>
      <c r="B43" s="1" t="s">
        <v>60</v>
      </c>
      <c r="C43" s="1" t="s">
        <v>59</v>
      </c>
    </row>
    <row r="44" spans="1:5" x14ac:dyDescent="0.3">
      <c r="A44" s="3" t="s">
        <v>61</v>
      </c>
    </row>
    <row r="45" spans="1:5" s="5" customFormat="1" x14ac:dyDescent="0.3">
      <c r="A45" s="4" t="s">
        <v>62</v>
      </c>
      <c r="C45" s="5" t="str">
        <f>A45&amp;" / "&amp;A47&amp;" / "&amp;A49&amp;" / "&amp;A51&amp;" / "&amp;A53</f>
        <v>ZA1ANDWP / ZA1ANFEY / ZA1AN5ZH / VGK6J51G / S3F6NX0J615264</v>
      </c>
      <c r="D45" t="s">
        <v>120</v>
      </c>
      <c r="E45" t="str">
        <f>D45&amp;C45</f>
        <v>HDD nicht löschbar, HDD Snr.: ZA1ANDWP / ZA1ANFEY / ZA1AN5ZH / VGK6J51G / S3F6NX0J615264</v>
      </c>
    </row>
    <row r="46" spans="1:5" x14ac:dyDescent="0.3">
      <c r="A46" s="3" t="s">
        <v>61</v>
      </c>
    </row>
    <row r="47" spans="1:5" x14ac:dyDescent="0.3">
      <c r="A47" s="2" t="s">
        <v>63</v>
      </c>
    </row>
    <row r="48" spans="1:5" x14ac:dyDescent="0.3">
      <c r="A48" s="3" t="s">
        <v>61</v>
      </c>
    </row>
    <row r="49" spans="1:5" x14ac:dyDescent="0.3">
      <c r="A49" s="2" t="s">
        <v>64</v>
      </c>
    </row>
    <row r="50" spans="1:5" x14ac:dyDescent="0.3">
      <c r="A50" s="3" t="s">
        <v>65</v>
      </c>
    </row>
    <row r="51" spans="1:5" x14ac:dyDescent="0.3">
      <c r="A51" s="2" t="s">
        <v>66</v>
      </c>
    </row>
    <row r="52" spans="1:5" x14ac:dyDescent="0.3">
      <c r="A52" s="3" t="s">
        <v>12</v>
      </c>
    </row>
    <row r="53" spans="1:5" x14ac:dyDescent="0.3">
      <c r="A53" s="2" t="s">
        <v>67</v>
      </c>
    </row>
    <row r="55" spans="1:5" x14ac:dyDescent="0.3">
      <c r="A55" s="1" t="s">
        <v>58</v>
      </c>
      <c r="B55" s="1" t="s">
        <v>60</v>
      </c>
      <c r="C55" s="1" t="s">
        <v>68</v>
      </c>
    </row>
    <row r="56" spans="1:5" x14ac:dyDescent="0.3">
      <c r="A56" s="3" t="s">
        <v>12</v>
      </c>
    </row>
    <row r="57" spans="1:5" s="5" customFormat="1" x14ac:dyDescent="0.3">
      <c r="A57" s="4" t="s">
        <v>69</v>
      </c>
      <c r="C57" s="5" t="str">
        <f>A57&amp;" / "&amp;A59&amp;" / "&amp;A61&amp;" / "&amp;A63&amp;" / "&amp;A65&amp;" / "&amp;A67&amp;" / "&amp;A69&amp;" / "&amp;A71&amp;" / "&amp;A73&amp;" / "&amp;A75&amp;" / "&amp;A77&amp;" / "&amp;A79</f>
        <v>S3F6NX0JB03453 / ZA1A6PH0 / ZA1A6PWK / ZA1A6QYC / ZA1A6QDL / S3F6NX0JB03456 / ZA1A7HG0 / ZA1A7HEN / S3F6NX0J611412 / S3F6NX0J611407 / ZA1A6PFG / ZA1A7HNH</v>
      </c>
      <c r="D57" t="s">
        <v>120</v>
      </c>
      <c r="E57" t="str">
        <f>D57&amp;C57</f>
        <v>HDD nicht löschbar, HDD Snr.: S3F6NX0JB03453 / ZA1A6PH0 / ZA1A6PWK / ZA1A6QYC / ZA1A6QDL / S3F6NX0JB03456 / ZA1A7HG0 / ZA1A7HEN / S3F6NX0J611412 / S3F6NX0J611407 / ZA1A6PFG / ZA1A7HNH</v>
      </c>
    </row>
    <row r="58" spans="1:5" x14ac:dyDescent="0.3">
      <c r="A58" s="3" t="s">
        <v>61</v>
      </c>
    </row>
    <row r="59" spans="1:5" x14ac:dyDescent="0.3">
      <c r="A59" s="2" t="s">
        <v>70</v>
      </c>
    </row>
    <row r="60" spans="1:5" x14ac:dyDescent="0.3">
      <c r="A60" s="3" t="s">
        <v>61</v>
      </c>
    </row>
    <row r="61" spans="1:5" x14ac:dyDescent="0.3">
      <c r="A61" s="2" t="s">
        <v>71</v>
      </c>
    </row>
    <row r="62" spans="1:5" x14ac:dyDescent="0.3">
      <c r="A62" s="3" t="s">
        <v>61</v>
      </c>
    </row>
    <row r="63" spans="1:5" x14ac:dyDescent="0.3">
      <c r="A63" s="2" t="s">
        <v>72</v>
      </c>
    </row>
    <row r="64" spans="1:5" x14ac:dyDescent="0.3">
      <c r="A64" s="3" t="s">
        <v>61</v>
      </c>
    </row>
    <row r="65" spans="1:1" x14ac:dyDescent="0.3">
      <c r="A65" s="2" t="s">
        <v>73</v>
      </c>
    </row>
    <row r="66" spans="1:1" x14ac:dyDescent="0.3">
      <c r="A66" s="3" t="s">
        <v>12</v>
      </c>
    </row>
    <row r="67" spans="1:1" x14ac:dyDescent="0.3">
      <c r="A67" s="2" t="s">
        <v>74</v>
      </c>
    </row>
    <row r="68" spans="1:1" x14ac:dyDescent="0.3">
      <c r="A68" s="3" t="s">
        <v>61</v>
      </c>
    </row>
    <row r="69" spans="1:1" x14ac:dyDescent="0.3">
      <c r="A69" s="2" t="s">
        <v>75</v>
      </c>
    </row>
    <row r="70" spans="1:1" x14ac:dyDescent="0.3">
      <c r="A70" s="3" t="s">
        <v>61</v>
      </c>
    </row>
    <row r="71" spans="1:1" x14ac:dyDescent="0.3">
      <c r="A71" s="2" t="s">
        <v>76</v>
      </c>
    </row>
    <row r="72" spans="1:1" x14ac:dyDescent="0.3">
      <c r="A72" s="3" t="s">
        <v>12</v>
      </c>
    </row>
    <row r="73" spans="1:1" x14ac:dyDescent="0.3">
      <c r="A73" s="2" t="s">
        <v>77</v>
      </c>
    </row>
    <row r="74" spans="1:1" x14ac:dyDescent="0.3">
      <c r="A74" s="3" t="s">
        <v>12</v>
      </c>
    </row>
    <row r="75" spans="1:1" x14ac:dyDescent="0.3">
      <c r="A75" s="2" t="s">
        <v>78</v>
      </c>
    </row>
    <row r="76" spans="1:1" x14ac:dyDescent="0.3">
      <c r="A76" s="3" t="s">
        <v>61</v>
      </c>
    </row>
    <row r="77" spans="1:1" x14ac:dyDescent="0.3">
      <c r="A77" s="2" t="s">
        <v>79</v>
      </c>
    </row>
    <row r="78" spans="1:1" x14ac:dyDescent="0.3">
      <c r="A78" s="3" t="s">
        <v>61</v>
      </c>
    </row>
    <row r="79" spans="1:1" x14ac:dyDescent="0.3">
      <c r="A79" s="2" t="s">
        <v>80</v>
      </c>
    </row>
    <row r="81" spans="1:5" x14ac:dyDescent="0.3">
      <c r="A81" s="1" t="s">
        <v>58</v>
      </c>
      <c r="B81" s="1" t="s">
        <v>60</v>
      </c>
      <c r="C81" s="1" t="s">
        <v>81</v>
      </c>
    </row>
    <row r="82" spans="1:5" x14ac:dyDescent="0.3">
      <c r="A82" s="3" t="s">
        <v>61</v>
      </c>
    </row>
    <row r="83" spans="1:5" s="5" customFormat="1" x14ac:dyDescent="0.3">
      <c r="A83" s="4" t="s">
        <v>82</v>
      </c>
      <c r="C83" s="5" t="str">
        <f>A83&amp;" / "&amp;A85&amp;" / "&amp;A87&amp;" / "&amp;A89&amp;" / "&amp;A91&amp;" / "&amp;A93&amp;" / "&amp;A95&amp;" / "&amp;A97&amp;" / "&amp;A99&amp;" / "&amp;A101&amp;" / "&amp;A103</f>
        <v>ZA1AEEFQ / ZA1AJ93X / S3F6NX0JB05140 / ZA1AEFHC / ZA1AFRF9 / ZA1AEEJ2 / ZA1AEEGK / S3F6NX0JB05143 / ZA1AEFKB / ZA1AFR3L / BTYG01810CT81P9DGN</v>
      </c>
      <c r="D83" t="s">
        <v>120</v>
      </c>
      <c r="E83" t="str">
        <f>D83&amp;C83</f>
        <v>HDD nicht löschbar, HDD Snr.: ZA1AEEFQ / ZA1AJ93X / S3F6NX0JB05140 / ZA1AEFHC / ZA1AFRF9 / ZA1AEEJ2 / ZA1AEEGK / S3F6NX0JB05143 / ZA1AEFKB / ZA1AFR3L / BTYG01810CT81P9DGN</v>
      </c>
    </row>
    <row r="84" spans="1:5" x14ac:dyDescent="0.3">
      <c r="A84" s="3" t="s">
        <v>61</v>
      </c>
    </row>
    <row r="85" spans="1:5" x14ac:dyDescent="0.3">
      <c r="A85" s="2" t="s">
        <v>83</v>
      </c>
    </row>
    <row r="86" spans="1:5" x14ac:dyDescent="0.3">
      <c r="A86" s="3" t="s">
        <v>12</v>
      </c>
    </row>
    <row r="87" spans="1:5" x14ac:dyDescent="0.3">
      <c r="A87" s="2" t="s">
        <v>84</v>
      </c>
    </row>
    <row r="88" spans="1:5" x14ac:dyDescent="0.3">
      <c r="A88" s="3" t="s">
        <v>61</v>
      </c>
    </row>
    <row r="89" spans="1:5" x14ac:dyDescent="0.3">
      <c r="A89" s="2" t="s">
        <v>85</v>
      </c>
    </row>
    <row r="90" spans="1:5" x14ac:dyDescent="0.3">
      <c r="A90" s="3" t="s">
        <v>61</v>
      </c>
    </row>
    <row r="91" spans="1:5" x14ac:dyDescent="0.3">
      <c r="A91" s="2" t="s">
        <v>86</v>
      </c>
    </row>
    <row r="92" spans="1:5" x14ac:dyDescent="0.3">
      <c r="A92" s="3" t="s">
        <v>61</v>
      </c>
    </row>
    <row r="93" spans="1:5" x14ac:dyDescent="0.3">
      <c r="A93" s="2" t="s">
        <v>87</v>
      </c>
    </row>
    <row r="94" spans="1:5" x14ac:dyDescent="0.3">
      <c r="A94" s="3" t="s">
        <v>61</v>
      </c>
    </row>
    <row r="95" spans="1:5" x14ac:dyDescent="0.3">
      <c r="A95" s="2" t="s">
        <v>88</v>
      </c>
    </row>
    <row r="96" spans="1:5" x14ac:dyDescent="0.3">
      <c r="A96" s="3" t="s">
        <v>12</v>
      </c>
    </row>
    <row r="97" spans="1:5" x14ac:dyDescent="0.3">
      <c r="A97" s="2" t="s">
        <v>89</v>
      </c>
    </row>
    <row r="98" spans="1:5" x14ac:dyDescent="0.3">
      <c r="A98" s="3" t="s">
        <v>61</v>
      </c>
    </row>
    <row r="99" spans="1:5" x14ac:dyDescent="0.3">
      <c r="A99" s="2" t="s">
        <v>90</v>
      </c>
    </row>
    <row r="100" spans="1:5" x14ac:dyDescent="0.3">
      <c r="A100" s="3" t="s">
        <v>61</v>
      </c>
    </row>
    <row r="101" spans="1:5" x14ac:dyDescent="0.3">
      <c r="A101" s="2" t="s">
        <v>91</v>
      </c>
    </row>
    <row r="102" spans="1:5" x14ac:dyDescent="0.3">
      <c r="A102" s="3" t="s">
        <v>92</v>
      </c>
    </row>
    <row r="103" spans="1:5" x14ac:dyDescent="0.3">
      <c r="A103" s="2" t="s">
        <v>93</v>
      </c>
    </row>
    <row r="105" spans="1:5" x14ac:dyDescent="0.3">
      <c r="A105" s="1" t="s">
        <v>3</v>
      </c>
      <c r="B105" s="1" t="s">
        <v>40</v>
      </c>
      <c r="C105" s="1" t="s">
        <v>94</v>
      </c>
    </row>
    <row r="106" spans="1:5" x14ac:dyDescent="0.3">
      <c r="A106" s="3" t="s">
        <v>3</v>
      </c>
    </row>
    <row r="107" spans="1:5" s="5" customFormat="1" x14ac:dyDescent="0.3">
      <c r="A107" s="4" t="s">
        <v>95</v>
      </c>
      <c r="C107" s="5" t="str">
        <f>A107&amp;" / "&amp;A109&amp;" / "&amp;A111&amp;" / "&amp;A113&amp;" / "&amp;A115&amp;" / "&amp;A117&amp;" / "&amp;A119&amp;" / "&amp;A121&amp;" / "&amp;A123&amp;" / "&amp;A125&amp;" / "&amp;A127&amp;" / "&amp;A129&amp;" / "&amp;A131&amp;" / "&amp;A133</f>
        <v>LDA0007JHBP3DG / LDA0007JHBPT7G / LDA0007JHJM7BG / LDA0007JH8ZR5G / LDA0007JHHAWDG / LDA0007JHHZDNG / LDA0007JHHLG0G / LDA0007JHBSMUG / LDA0007JHHAUYG / LBA0007JHG5LNC / LDA0007JH8ZT8G / LBA0007JHH7XDC / W0K0CAAS / W0K0CAEQ</v>
      </c>
      <c r="D107" t="s">
        <v>120</v>
      </c>
      <c r="E107" t="str">
        <f>D107&amp;C107</f>
        <v>HDD nicht löschbar, HDD Snr.: LDA0007JHBP3DG / LDA0007JHBPT7G / LDA0007JHJM7BG / LDA0007JH8ZR5G / LDA0007JHHAWDG / LDA0007JHHZDNG / LDA0007JHHLG0G / LDA0007JHBSMUG / LDA0007JHHAUYG / LBA0007JHG5LNC / LDA0007JH8ZT8G / LBA0007JHH7XDC / W0K0CAAS / W0K0CAEQ</v>
      </c>
    </row>
    <row r="108" spans="1:5" x14ac:dyDescent="0.3">
      <c r="A108" s="3" t="s">
        <v>3</v>
      </c>
    </row>
    <row r="109" spans="1:5" x14ac:dyDescent="0.3">
      <c r="A109" s="2" t="s">
        <v>96</v>
      </c>
    </row>
    <row r="110" spans="1:5" x14ac:dyDescent="0.3">
      <c r="A110" s="3" t="s">
        <v>3</v>
      </c>
    </row>
    <row r="111" spans="1:5" x14ac:dyDescent="0.3">
      <c r="A111" s="2" t="s">
        <v>97</v>
      </c>
    </row>
    <row r="112" spans="1:5" x14ac:dyDescent="0.3">
      <c r="A112" s="3" t="s">
        <v>3</v>
      </c>
    </row>
    <row r="113" spans="1:1" x14ac:dyDescent="0.3">
      <c r="A113" s="2" t="s">
        <v>98</v>
      </c>
    </row>
    <row r="114" spans="1:1" x14ac:dyDescent="0.3">
      <c r="A114" s="3" t="s">
        <v>3</v>
      </c>
    </row>
    <row r="115" spans="1:1" x14ac:dyDescent="0.3">
      <c r="A115" s="2" t="s">
        <v>99</v>
      </c>
    </row>
    <row r="116" spans="1:1" x14ac:dyDescent="0.3">
      <c r="A116" s="3" t="s">
        <v>3</v>
      </c>
    </row>
    <row r="117" spans="1:1" x14ac:dyDescent="0.3">
      <c r="A117" s="2" t="s">
        <v>100</v>
      </c>
    </row>
    <row r="118" spans="1:1" x14ac:dyDescent="0.3">
      <c r="A118" s="3" t="s">
        <v>3</v>
      </c>
    </row>
    <row r="119" spans="1:1" x14ac:dyDescent="0.3">
      <c r="A119" s="2" t="s">
        <v>101</v>
      </c>
    </row>
    <row r="120" spans="1:1" x14ac:dyDescent="0.3">
      <c r="A120" s="3" t="s">
        <v>3</v>
      </c>
    </row>
    <row r="121" spans="1:1" x14ac:dyDescent="0.3">
      <c r="A121" s="2" t="s">
        <v>102</v>
      </c>
    </row>
    <row r="122" spans="1:1" x14ac:dyDescent="0.3">
      <c r="A122" s="3" t="s">
        <v>3</v>
      </c>
    </row>
    <row r="123" spans="1:1" x14ac:dyDescent="0.3">
      <c r="A123" s="2" t="s">
        <v>103</v>
      </c>
    </row>
    <row r="124" spans="1:1" x14ac:dyDescent="0.3">
      <c r="A124" s="3" t="s">
        <v>3</v>
      </c>
    </row>
    <row r="125" spans="1:1" x14ac:dyDescent="0.3">
      <c r="A125" s="2" t="s">
        <v>104</v>
      </c>
    </row>
    <row r="126" spans="1:1" x14ac:dyDescent="0.3">
      <c r="A126" s="3" t="s">
        <v>3</v>
      </c>
    </row>
    <row r="127" spans="1:1" x14ac:dyDescent="0.3">
      <c r="A127" s="2" t="s">
        <v>105</v>
      </c>
    </row>
    <row r="128" spans="1:1" x14ac:dyDescent="0.3">
      <c r="A128" s="3" t="s">
        <v>3</v>
      </c>
    </row>
    <row r="129" spans="1:2" x14ac:dyDescent="0.3">
      <c r="A129" s="2" t="s">
        <v>106</v>
      </c>
    </row>
    <row r="130" spans="1:2" x14ac:dyDescent="0.3">
      <c r="A130" s="3" t="s">
        <v>3</v>
      </c>
    </row>
    <row r="131" spans="1:2" x14ac:dyDescent="0.3">
      <c r="A131" s="2" t="s">
        <v>107</v>
      </c>
    </row>
    <row r="132" spans="1:2" x14ac:dyDescent="0.3">
      <c r="A132" s="3" t="s">
        <v>3</v>
      </c>
    </row>
    <row r="133" spans="1:2" x14ac:dyDescent="0.3">
      <c r="A133" s="2" t="s">
        <v>108</v>
      </c>
    </row>
    <row r="137" spans="1:2" x14ac:dyDescent="0.3">
      <c r="A137" s="3" t="s">
        <v>3</v>
      </c>
      <c r="B137" s="2" t="s">
        <v>109</v>
      </c>
    </row>
    <row r="138" spans="1:2" x14ac:dyDescent="0.3">
      <c r="A138" s="3" t="s">
        <v>3</v>
      </c>
      <c r="B138" s="2" t="s">
        <v>110</v>
      </c>
    </row>
    <row r="139" spans="1:2" x14ac:dyDescent="0.3">
      <c r="A139" s="3" t="s">
        <v>3</v>
      </c>
      <c r="B139" s="2" t="s">
        <v>111</v>
      </c>
    </row>
    <row r="140" spans="1:2" x14ac:dyDescent="0.3">
      <c r="A140" s="3" t="s">
        <v>3</v>
      </c>
      <c r="B140" s="2" t="s">
        <v>112</v>
      </c>
    </row>
    <row r="141" spans="1:2" x14ac:dyDescent="0.3">
      <c r="A141" s="3" t="s">
        <v>3</v>
      </c>
      <c r="B141" s="2" t="s">
        <v>113</v>
      </c>
    </row>
    <row r="142" spans="1:2" x14ac:dyDescent="0.3">
      <c r="A142" s="3" t="s">
        <v>61</v>
      </c>
      <c r="B142" s="2" t="s">
        <v>114</v>
      </c>
    </row>
    <row r="143" spans="1:2" x14ac:dyDescent="0.3">
      <c r="A143" s="3" t="s">
        <v>61</v>
      </c>
      <c r="B143" s="2" t="s">
        <v>115</v>
      </c>
    </row>
    <row r="144" spans="1:2" x14ac:dyDescent="0.3">
      <c r="A144" s="3" t="s">
        <v>3</v>
      </c>
      <c r="B144" s="2" t="s">
        <v>116</v>
      </c>
    </row>
    <row r="145" spans="1:2" x14ac:dyDescent="0.3">
      <c r="A145" s="3" t="s">
        <v>3</v>
      </c>
      <c r="B145" s="2" t="s">
        <v>117</v>
      </c>
    </row>
    <row r="146" spans="1:2" x14ac:dyDescent="0.3">
      <c r="A146" s="3" t="s">
        <v>61</v>
      </c>
      <c r="B146" s="2" t="s">
        <v>118</v>
      </c>
    </row>
    <row r="147" spans="1:2" x14ac:dyDescent="0.3">
      <c r="A147" s="3" t="s">
        <v>61</v>
      </c>
      <c r="B147" s="2" t="s">
        <v>119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2024-11-20T11:47:43Z</dcterms:created>
  <dcterms:modified xsi:type="dcterms:W3CDTF">2025-03-27T14:28:55Z</dcterms:modified>
</cp:coreProperties>
</file>