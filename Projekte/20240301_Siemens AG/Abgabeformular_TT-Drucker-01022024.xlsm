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siemens.sharepoint.com/teams/MOITEU2Graz/Shared Documents/General/Verschrottung/"/>
    </mc:Choice>
  </mc:AlternateContent>
  <xr:revisionPtr revIDLastSave="4" documentId="13_ncr:1_{80FEDE1F-7ECF-49BA-8A1F-2FA0D2A4971C}" xr6:coauthVersionLast="47" xr6:coauthVersionMax="47" xr10:uidLastSave="{780FB8E7-A34E-4C18-97AC-6D60AFFE4B3A}"/>
  <bookViews>
    <workbookView xWindow="-37810" yWindow="-7520" windowWidth="26150" windowHeight="17120" tabRatio="301" xr2:uid="{00000000-000D-0000-FFFF-FFFF00000000}"/>
  </bookViews>
  <sheets>
    <sheet name="Erfassungsblatt" sheetId="1" r:id="rId1"/>
    <sheet name="Abfallcode" sheetId="2" state="hidden" r:id="rId2"/>
    <sheet name="BSPs" sheetId="4" state="hidden" r:id="rId3"/>
    <sheet name="Produkte" sheetId="5" state="hidden" r:id="rId4"/>
    <sheet name="Releasenotes" sheetId="6" state="hidden" r:id="rId5"/>
    <sheet name="Parameter" sheetId="7" state="hidden" r:id="rId6"/>
    <sheet name="Mail_Ausscheidung" sheetId="9" state="hidden" r:id="rId7"/>
    <sheet name="Mail_Ausscheidung_HILF" sheetId="10" state="hidden" r:id="rId8"/>
    <sheet name="Mail_Entsorgung" sheetId="11" state="hidden" r:id="rId9"/>
  </sheets>
  <definedNames>
    <definedName name="BSPnn">BSPs!$A$2:$A$35</definedName>
    <definedName name="_xlnm.Print_Area" localSheetId="0">Erfassungsblatt!$A$1:$J$57</definedName>
    <definedName name="Produkt">Produkte!$A$2:$A$24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4" l="1"/>
  <c r="J25" i="4"/>
  <c r="F18" i="7"/>
  <c r="K21" i="7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8" i="1"/>
  <c r="G8" i="1" s="1"/>
  <c r="F3" i="10"/>
  <c r="B3" i="9" s="1"/>
  <c r="G3" i="10"/>
  <c r="C3" i="9" s="1"/>
  <c r="H3" i="10"/>
  <c r="D3" i="9" s="1"/>
  <c r="I3" i="10"/>
  <c r="E3" i="9" s="1"/>
  <c r="F4" i="10"/>
  <c r="B4" i="9" s="1"/>
  <c r="G4" i="10"/>
  <c r="C4" i="9" s="1"/>
  <c r="H4" i="10"/>
  <c r="D4" i="9" s="1"/>
  <c r="I4" i="10"/>
  <c r="E4" i="9" s="1"/>
  <c r="F5" i="10"/>
  <c r="B5" i="9" s="1"/>
  <c r="G5" i="10"/>
  <c r="C5" i="9" s="1"/>
  <c r="H5" i="10"/>
  <c r="D5" i="9" s="1"/>
  <c r="I5" i="10"/>
  <c r="E5" i="9" s="1"/>
  <c r="F6" i="10"/>
  <c r="B6" i="9" s="1"/>
  <c r="G6" i="10"/>
  <c r="C6" i="9" s="1"/>
  <c r="H6" i="10"/>
  <c r="D6" i="9" s="1"/>
  <c r="I6" i="10"/>
  <c r="E6" i="9" s="1"/>
  <c r="F7" i="10"/>
  <c r="B7" i="9" s="1"/>
  <c r="G7" i="10"/>
  <c r="C7" i="9" s="1"/>
  <c r="H7" i="10"/>
  <c r="D7" i="9" s="1"/>
  <c r="I7" i="10"/>
  <c r="E7" i="9" s="1"/>
  <c r="F8" i="10"/>
  <c r="B8" i="9" s="1"/>
  <c r="G8" i="10"/>
  <c r="C8" i="9" s="1"/>
  <c r="H8" i="10"/>
  <c r="D8" i="9" s="1"/>
  <c r="I8" i="10"/>
  <c r="E8" i="9" s="1"/>
  <c r="F9" i="10"/>
  <c r="B9" i="9" s="1"/>
  <c r="G9" i="10"/>
  <c r="C9" i="9" s="1"/>
  <c r="H9" i="10"/>
  <c r="D9" i="9" s="1"/>
  <c r="I9" i="10"/>
  <c r="E9" i="9" s="1"/>
  <c r="F10" i="10"/>
  <c r="B10" i="9" s="1"/>
  <c r="G10" i="10"/>
  <c r="C10" i="9" s="1"/>
  <c r="H10" i="10"/>
  <c r="D10" i="9" s="1"/>
  <c r="I10" i="10"/>
  <c r="E10" i="9" s="1"/>
  <c r="F11" i="10"/>
  <c r="B11" i="9" s="1"/>
  <c r="G11" i="10"/>
  <c r="C11" i="9" s="1"/>
  <c r="H11" i="10"/>
  <c r="D11" i="9" s="1"/>
  <c r="I11" i="10"/>
  <c r="E11" i="9" s="1"/>
  <c r="F12" i="10"/>
  <c r="B12" i="9" s="1"/>
  <c r="G12" i="10"/>
  <c r="C12" i="9" s="1"/>
  <c r="H12" i="10"/>
  <c r="D12" i="9" s="1"/>
  <c r="I12" i="10"/>
  <c r="E12" i="9" s="1"/>
  <c r="F13" i="10"/>
  <c r="B13" i="9" s="1"/>
  <c r="G13" i="10"/>
  <c r="C13" i="9" s="1"/>
  <c r="H13" i="10"/>
  <c r="D13" i="9" s="1"/>
  <c r="I13" i="10"/>
  <c r="E13" i="9" s="1"/>
  <c r="F14" i="10"/>
  <c r="B14" i="9" s="1"/>
  <c r="G14" i="10"/>
  <c r="C14" i="9" s="1"/>
  <c r="H14" i="10"/>
  <c r="D14" i="9" s="1"/>
  <c r="I14" i="10"/>
  <c r="E14" i="9" s="1"/>
  <c r="F15" i="10"/>
  <c r="B15" i="9" s="1"/>
  <c r="G15" i="10"/>
  <c r="C15" i="9" s="1"/>
  <c r="H15" i="10"/>
  <c r="D15" i="9" s="1"/>
  <c r="I15" i="10"/>
  <c r="E15" i="9" s="1"/>
  <c r="F16" i="10"/>
  <c r="B16" i="9" s="1"/>
  <c r="G16" i="10"/>
  <c r="C16" i="9" s="1"/>
  <c r="H16" i="10"/>
  <c r="D16" i="9" s="1"/>
  <c r="I16" i="10"/>
  <c r="E16" i="9" s="1"/>
  <c r="F17" i="10"/>
  <c r="B17" i="9" s="1"/>
  <c r="G17" i="10"/>
  <c r="C17" i="9" s="1"/>
  <c r="H17" i="10"/>
  <c r="D17" i="9" s="1"/>
  <c r="I17" i="10"/>
  <c r="E17" i="9" s="1"/>
  <c r="F18" i="10"/>
  <c r="B18" i="9" s="1"/>
  <c r="G18" i="10"/>
  <c r="C18" i="9" s="1"/>
  <c r="H18" i="10"/>
  <c r="D18" i="9" s="1"/>
  <c r="I18" i="10"/>
  <c r="E18" i="9" s="1"/>
  <c r="F19" i="10"/>
  <c r="B19" i="9" s="1"/>
  <c r="G19" i="10"/>
  <c r="C19" i="9" s="1"/>
  <c r="H19" i="10"/>
  <c r="D19" i="9" s="1"/>
  <c r="I19" i="10"/>
  <c r="E19" i="9" s="1"/>
  <c r="F20" i="10"/>
  <c r="B20" i="9" s="1"/>
  <c r="G20" i="10"/>
  <c r="C20" i="9" s="1"/>
  <c r="H20" i="10"/>
  <c r="D20" i="9" s="1"/>
  <c r="I20" i="10"/>
  <c r="E20" i="9" s="1"/>
  <c r="F21" i="10"/>
  <c r="B21" i="9" s="1"/>
  <c r="G21" i="10"/>
  <c r="C21" i="9" s="1"/>
  <c r="H21" i="10"/>
  <c r="D21" i="9" s="1"/>
  <c r="I21" i="10"/>
  <c r="E21" i="9" s="1"/>
  <c r="F22" i="10"/>
  <c r="B22" i="9" s="1"/>
  <c r="G22" i="10"/>
  <c r="C22" i="9" s="1"/>
  <c r="H22" i="10"/>
  <c r="D22" i="9" s="1"/>
  <c r="I22" i="10"/>
  <c r="E22" i="9" s="1"/>
  <c r="F23" i="10"/>
  <c r="B23" i="9" s="1"/>
  <c r="G23" i="10"/>
  <c r="C23" i="9" s="1"/>
  <c r="H23" i="10"/>
  <c r="D23" i="9" s="1"/>
  <c r="I23" i="10"/>
  <c r="E23" i="9" s="1"/>
  <c r="F24" i="10"/>
  <c r="B24" i="9" s="1"/>
  <c r="G24" i="10"/>
  <c r="C24" i="9" s="1"/>
  <c r="H24" i="10"/>
  <c r="D24" i="9" s="1"/>
  <c r="I24" i="10"/>
  <c r="E24" i="9" s="1"/>
  <c r="F25" i="10"/>
  <c r="B25" i="9" s="1"/>
  <c r="G25" i="10"/>
  <c r="C25" i="9" s="1"/>
  <c r="H25" i="10"/>
  <c r="D25" i="9" s="1"/>
  <c r="I25" i="10"/>
  <c r="E25" i="9" s="1"/>
  <c r="F26" i="10"/>
  <c r="B26" i="9" s="1"/>
  <c r="G26" i="10"/>
  <c r="C26" i="9" s="1"/>
  <c r="H26" i="10"/>
  <c r="D26" i="9" s="1"/>
  <c r="I26" i="10"/>
  <c r="E26" i="9" s="1"/>
  <c r="F27" i="10"/>
  <c r="B27" i="9" s="1"/>
  <c r="G27" i="10"/>
  <c r="C27" i="9" s="1"/>
  <c r="H27" i="10"/>
  <c r="D27" i="9" s="1"/>
  <c r="I27" i="10"/>
  <c r="E27" i="9" s="1"/>
  <c r="F28" i="10"/>
  <c r="B28" i="9" s="1"/>
  <c r="G28" i="10"/>
  <c r="C28" i="9" s="1"/>
  <c r="H28" i="10"/>
  <c r="D28" i="9" s="1"/>
  <c r="I28" i="10"/>
  <c r="E28" i="9" s="1"/>
  <c r="F29" i="10"/>
  <c r="B29" i="9" s="1"/>
  <c r="G29" i="10"/>
  <c r="C29" i="9" s="1"/>
  <c r="H29" i="10"/>
  <c r="D29" i="9" s="1"/>
  <c r="I29" i="10"/>
  <c r="E29" i="9" s="1"/>
  <c r="F30" i="10"/>
  <c r="B30" i="9" s="1"/>
  <c r="G30" i="10"/>
  <c r="C30" i="9" s="1"/>
  <c r="H30" i="10"/>
  <c r="D30" i="9" s="1"/>
  <c r="I30" i="10"/>
  <c r="E30" i="9" s="1"/>
  <c r="F31" i="10"/>
  <c r="B31" i="9" s="1"/>
  <c r="G31" i="10"/>
  <c r="C31" i="9" s="1"/>
  <c r="H31" i="10"/>
  <c r="D31" i="9" s="1"/>
  <c r="I31" i="10"/>
  <c r="E31" i="9" s="1"/>
  <c r="F32" i="10"/>
  <c r="B32" i="9" s="1"/>
  <c r="G32" i="10"/>
  <c r="C32" i="9" s="1"/>
  <c r="H32" i="10"/>
  <c r="D32" i="9" s="1"/>
  <c r="I32" i="10"/>
  <c r="E32" i="9" s="1"/>
  <c r="F33" i="10"/>
  <c r="B33" i="9" s="1"/>
  <c r="G33" i="10"/>
  <c r="C33" i="9" s="1"/>
  <c r="H33" i="10"/>
  <c r="D33" i="9" s="1"/>
  <c r="I33" i="10"/>
  <c r="E33" i="9" s="1"/>
  <c r="F34" i="10"/>
  <c r="B34" i="9" s="1"/>
  <c r="G34" i="10"/>
  <c r="C34" i="9" s="1"/>
  <c r="H34" i="10"/>
  <c r="D34" i="9" s="1"/>
  <c r="I34" i="10"/>
  <c r="E34" i="9" s="1"/>
  <c r="F35" i="10"/>
  <c r="B35" i="9" s="1"/>
  <c r="G35" i="10"/>
  <c r="C35" i="9" s="1"/>
  <c r="H35" i="10"/>
  <c r="D35" i="9" s="1"/>
  <c r="I35" i="10"/>
  <c r="E35" i="9" s="1"/>
  <c r="F36" i="10"/>
  <c r="B36" i="9" s="1"/>
  <c r="G36" i="10"/>
  <c r="C36" i="9" s="1"/>
  <c r="H36" i="10"/>
  <c r="D36" i="9" s="1"/>
  <c r="I36" i="10"/>
  <c r="E36" i="9" s="1"/>
  <c r="F37" i="10"/>
  <c r="B37" i="9" s="1"/>
  <c r="G37" i="10"/>
  <c r="C37" i="9" s="1"/>
  <c r="H37" i="10"/>
  <c r="D37" i="9" s="1"/>
  <c r="I37" i="10"/>
  <c r="E37" i="9" s="1"/>
  <c r="F38" i="10"/>
  <c r="B38" i="9" s="1"/>
  <c r="G38" i="10"/>
  <c r="C38" i="9" s="1"/>
  <c r="H38" i="10"/>
  <c r="D38" i="9" s="1"/>
  <c r="I38" i="10"/>
  <c r="E38" i="9" s="1"/>
  <c r="F39" i="10"/>
  <c r="B39" i="9" s="1"/>
  <c r="G39" i="10"/>
  <c r="C39" i="9" s="1"/>
  <c r="H39" i="10"/>
  <c r="D39" i="9" s="1"/>
  <c r="I39" i="10"/>
  <c r="E39" i="9" s="1"/>
  <c r="F40" i="10"/>
  <c r="B40" i="9" s="1"/>
  <c r="G40" i="10"/>
  <c r="C40" i="9" s="1"/>
  <c r="H40" i="10"/>
  <c r="D40" i="9" s="1"/>
  <c r="I40" i="10"/>
  <c r="E40" i="9" s="1"/>
  <c r="F41" i="10"/>
  <c r="B41" i="9" s="1"/>
  <c r="G41" i="10"/>
  <c r="C41" i="9" s="1"/>
  <c r="H41" i="10"/>
  <c r="D41" i="9" s="1"/>
  <c r="I41" i="10"/>
  <c r="E41" i="9" s="1"/>
  <c r="F42" i="10"/>
  <c r="B42" i="9" s="1"/>
  <c r="G42" i="10"/>
  <c r="C42" i="9" s="1"/>
  <c r="H42" i="10"/>
  <c r="D42" i="9" s="1"/>
  <c r="I42" i="10"/>
  <c r="E42" i="9" s="1"/>
  <c r="F43" i="10"/>
  <c r="B43" i="9" s="1"/>
  <c r="G43" i="10"/>
  <c r="C43" i="9" s="1"/>
  <c r="H43" i="10"/>
  <c r="D43" i="9" s="1"/>
  <c r="I43" i="10"/>
  <c r="E43" i="9" s="1"/>
  <c r="F44" i="10"/>
  <c r="B44" i="9" s="1"/>
  <c r="G44" i="10"/>
  <c r="C44" i="9" s="1"/>
  <c r="H44" i="10"/>
  <c r="D44" i="9" s="1"/>
  <c r="I44" i="10"/>
  <c r="E44" i="9" s="1"/>
  <c r="F45" i="10"/>
  <c r="B45" i="9" s="1"/>
  <c r="G45" i="10"/>
  <c r="C45" i="9" s="1"/>
  <c r="H45" i="10"/>
  <c r="D45" i="9" s="1"/>
  <c r="I45" i="10"/>
  <c r="E45" i="9" s="1"/>
  <c r="F46" i="10"/>
  <c r="B46" i="9" s="1"/>
  <c r="G46" i="10"/>
  <c r="C46" i="9" s="1"/>
  <c r="H46" i="10"/>
  <c r="D46" i="9" s="1"/>
  <c r="I46" i="10"/>
  <c r="E46" i="9" s="1"/>
  <c r="F47" i="10"/>
  <c r="B47" i="9" s="1"/>
  <c r="G47" i="10"/>
  <c r="C47" i="9" s="1"/>
  <c r="H47" i="10"/>
  <c r="D47" i="9" s="1"/>
  <c r="I47" i="10"/>
  <c r="E47" i="9" s="1"/>
  <c r="F48" i="10"/>
  <c r="B48" i="9" s="1"/>
  <c r="G48" i="10"/>
  <c r="C48" i="9" s="1"/>
  <c r="H48" i="10"/>
  <c r="D48" i="9" s="1"/>
  <c r="I48" i="10"/>
  <c r="E48" i="9" s="1"/>
  <c r="F49" i="10"/>
  <c r="B49" i="9" s="1"/>
  <c r="G49" i="10"/>
  <c r="C49" i="9" s="1"/>
  <c r="H49" i="10"/>
  <c r="D49" i="9" s="1"/>
  <c r="I49" i="10"/>
  <c r="E49" i="9" s="1"/>
  <c r="F50" i="10"/>
  <c r="B50" i="9" s="1"/>
  <c r="G50" i="10"/>
  <c r="C50" i="9" s="1"/>
  <c r="H50" i="10"/>
  <c r="D50" i="9" s="1"/>
  <c r="I50" i="10"/>
  <c r="E50" i="9" s="1"/>
  <c r="F51" i="10"/>
  <c r="B51" i="9" s="1"/>
  <c r="G51" i="10"/>
  <c r="C51" i="9" s="1"/>
  <c r="H51" i="10"/>
  <c r="D51" i="9" s="1"/>
  <c r="I51" i="10"/>
  <c r="E51" i="9" s="1"/>
  <c r="G2" i="10"/>
  <c r="C2" i="9" s="1"/>
  <c r="H2" i="10"/>
  <c r="D2" i="9" s="1"/>
  <c r="I2" i="10"/>
  <c r="E2" i="9" s="1"/>
  <c r="F2" i="10"/>
  <c r="B2" i="9" s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6" i="4"/>
  <c r="L27" i="4"/>
  <c r="L28" i="4"/>
  <c r="L29" i="4"/>
  <c r="L30" i="4"/>
  <c r="L31" i="4"/>
  <c r="L32" i="4"/>
  <c r="L33" i="4"/>
  <c r="L34" i="4"/>
  <c r="L35" i="4"/>
  <c r="L2" i="4"/>
  <c r="A5" i="1"/>
  <c r="J10" i="4"/>
  <c r="J15" i="4" l="1"/>
  <c r="A4" i="1" l="1"/>
  <c r="J18" i="4"/>
  <c r="J16" i="4"/>
  <c r="J34" i="4"/>
  <c r="J13" i="4"/>
  <c r="J24" i="4"/>
  <c r="J4" i="4"/>
  <c r="J11" i="4"/>
  <c r="J30" i="4"/>
  <c r="J21" i="4"/>
  <c r="J33" i="4"/>
  <c r="J29" i="4"/>
  <c r="J7" i="4"/>
  <c r="J8" i="4"/>
  <c r="J35" i="4"/>
  <c r="J32" i="4"/>
  <c r="J23" i="4"/>
  <c r="J31" i="4"/>
  <c r="J28" i="4"/>
  <c r="J22" i="4"/>
  <c r="J20" i="4"/>
  <c r="J17" i="4"/>
  <c r="J14" i="4"/>
  <c r="J12" i="4"/>
  <c r="J9" i="4"/>
  <c r="J6" i="4"/>
  <c r="J3" i="4"/>
  <c r="J2" i="4"/>
  <c r="J27" i="4"/>
  <c r="J26" i="4"/>
  <c r="J19" i="4"/>
  <c r="J5" i="4"/>
</calcChain>
</file>

<file path=xl/sharedStrings.xml><?xml version="1.0" encoding="utf-8"?>
<sst xmlns="http://schemas.openxmlformats.org/spreadsheetml/2006/main" count="712" uniqueCount="471">
  <si>
    <t>Equipmentnummer</t>
  </si>
  <si>
    <t>Inventarnummer</t>
  </si>
  <si>
    <t>Produkt</t>
  </si>
  <si>
    <t>Produktklasse</t>
  </si>
  <si>
    <t>Abfallcode</t>
  </si>
  <si>
    <t>übergeben an IT4NEXT am:</t>
  </si>
  <si>
    <t>TFT Monitor</t>
  </si>
  <si>
    <t>Smartphone</t>
  </si>
  <si>
    <t>Handy</t>
  </si>
  <si>
    <t>Notebook</t>
  </si>
  <si>
    <t>PC</t>
  </si>
  <si>
    <t>Programmiergerät</t>
  </si>
  <si>
    <t>Tastatur</t>
  </si>
  <si>
    <t>Maus</t>
  </si>
  <si>
    <t>sonst. IT Kleinmaterial</t>
  </si>
  <si>
    <t>Location</t>
  </si>
  <si>
    <t>GID</t>
  </si>
  <si>
    <t>WEZ EL</t>
  </si>
  <si>
    <t>Fink</t>
  </si>
  <si>
    <t>Z000SR6S</t>
  </si>
  <si>
    <t>Painer</t>
  </si>
  <si>
    <t>Z001MWPF</t>
  </si>
  <si>
    <t>Z001MWSX</t>
  </si>
  <si>
    <t>Spirk</t>
  </si>
  <si>
    <t>Z001N7AK</t>
  </si>
  <si>
    <t>VIE SIE</t>
  </si>
  <si>
    <t>Bamberger</t>
  </si>
  <si>
    <t>Z0001CCG</t>
  </si>
  <si>
    <t>Boska</t>
  </si>
  <si>
    <t>Z0008UTP</t>
  </si>
  <si>
    <t>Franz</t>
  </si>
  <si>
    <t>Z00016IW</t>
  </si>
  <si>
    <t>Jungmann</t>
  </si>
  <si>
    <t>Z0001C7F</t>
  </si>
  <si>
    <t>Kobsik</t>
  </si>
  <si>
    <t>Z001JZTW</t>
  </si>
  <si>
    <t>Kriha</t>
  </si>
  <si>
    <t>Z000141P</t>
  </si>
  <si>
    <t>Mergl</t>
  </si>
  <si>
    <t>Z00017JL</t>
  </si>
  <si>
    <t>Pertl</t>
  </si>
  <si>
    <t>Z00013LA</t>
  </si>
  <si>
    <t>Z0001C5J</t>
  </si>
  <si>
    <t>Stegmeier</t>
  </si>
  <si>
    <t>Z002EX1T</t>
  </si>
  <si>
    <t>Treml</t>
  </si>
  <si>
    <t>Z00015IV</t>
  </si>
  <si>
    <t>VIE RU</t>
  </si>
  <si>
    <t>Rudischer</t>
  </si>
  <si>
    <t>Z0001D1C</t>
  </si>
  <si>
    <t>VIE LEB</t>
  </si>
  <si>
    <t>Wachold</t>
  </si>
  <si>
    <t>Z000161V</t>
  </si>
  <si>
    <t>Zugriegl</t>
  </si>
  <si>
    <t>Z000F1QO</t>
  </si>
  <si>
    <t>VIE AUK</t>
  </si>
  <si>
    <t>Jahrmann</t>
  </si>
  <si>
    <t>Z0001ECP</t>
  </si>
  <si>
    <t>Grohs</t>
  </si>
  <si>
    <t>Z000190Q</t>
  </si>
  <si>
    <t>Steiner</t>
  </si>
  <si>
    <t>Z0001ALX</t>
  </si>
  <si>
    <t>SZG NLS</t>
  </si>
  <si>
    <t>Wittich</t>
  </si>
  <si>
    <t>Z001N1KC</t>
  </si>
  <si>
    <t>Reisinger</t>
  </si>
  <si>
    <t>Z000181Y</t>
  </si>
  <si>
    <t>LNZ NLL</t>
  </si>
  <si>
    <t>LNZ KR</t>
  </si>
  <si>
    <t>Tauber</t>
  </si>
  <si>
    <t>Z001MRFB</t>
  </si>
  <si>
    <t>KLU NLK</t>
  </si>
  <si>
    <t>Kerschbaumer</t>
  </si>
  <si>
    <t>Z00334CC</t>
  </si>
  <si>
    <t>Engel</t>
  </si>
  <si>
    <t>Z001WBJF</t>
  </si>
  <si>
    <t>Schruef</t>
  </si>
  <si>
    <t>Z00019JU</t>
  </si>
  <si>
    <t>GRZ NLG</t>
  </si>
  <si>
    <t>GRZ EGGEN</t>
  </si>
  <si>
    <t>Krenn</t>
  </si>
  <si>
    <t>Z000E33R</t>
  </si>
  <si>
    <t>Wolf</t>
  </si>
  <si>
    <t>Z00015RH</t>
  </si>
  <si>
    <t>ENT EIS</t>
  </si>
  <si>
    <t>Maikisch</t>
  </si>
  <si>
    <t>Z0021M4F</t>
  </si>
  <si>
    <t>BRG NLB</t>
  </si>
  <si>
    <t>Z00334BX</t>
  </si>
  <si>
    <t>Surname (int.)</t>
  </si>
  <si>
    <t>Given name (int.)</t>
  </si>
  <si>
    <t>Building</t>
  </si>
  <si>
    <t>Room</t>
  </si>
  <si>
    <t>Mobile</t>
  </si>
  <si>
    <t>E-mail</t>
  </si>
  <si>
    <t>Benjamin</t>
  </si>
  <si>
    <t>BAU HP</t>
  </si>
  <si>
    <t>E0.05</t>
  </si>
  <si>
    <t xml:space="preserve">+43 (664) 88551446 </t>
  </si>
  <si>
    <t xml:space="preserve">benjamin.fink@siemens.com </t>
  </si>
  <si>
    <t>Manfred</t>
  </si>
  <si>
    <t xml:space="preserve">+43 (664) 6151626 </t>
  </si>
  <si>
    <t xml:space="preserve">manfred.painer@siemens.com </t>
  </si>
  <si>
    <t>Herbert</t>
  </si>
  <si>
    <t xml:space="preserve">+43 (664) 8011716385 </t>
  </si>
  <si>
    <t xml:space="preserve">herbert.schweighofer@siemens.com </t>
  </si>
  <si>
    <t>Christian</t>
  </si>
  <si>
    <t xml:space="preserve">+43 (664) 8011719108 </t>
  </si>
  <si>
    <t xml:space="preserve">christian.spirk@siemens.com </t>
  </si>
  <si>
    <t>Johann</t>
  </si>
  <si>
    <t>GEBAEUDE 60</t>
  </si>
  <si>
    <t>60.06.090</t>
  </si>
  <si>
    <t xml:space="preserve">+43 (664) 88550525 </t>
  </si>
  <si>
    <t xml:space="preserve">johann.bamberger@siemens.com </t>
  </si>
  <si>
    <t>Peter</t>
  </si>
  <si>
    <t>BAU22</t>
  </si>
  <si>
    <t xml:space="preserve">+43 (664) 8011724777 </t>
  </si>
  <si>
    <t xml:space="preserve">peter.boska@siemens.com </t>
  </si>
  <si>
    <t>Michael</t>
  </si>
  <si>
    <t xml:space="preserve">+43 (664) 88550025 </t>
  </si>
  <si>
    <t xml:space="preserve">michael.m.franz@siemens.com </t>
  </si>
  <si>
    <t>Gerhard</t>
  </si>
  <si>
    <t>GEBAEUDE 64</t>
  </si>
  <si>
    <t>64.EG.001</t>
  </si>
  <si>
    <t xml:space="preserve">+43 (664) 6153131 </t>
  </si>
  <si>
    <t xml:space="preserve">gerhard.jungmann@siemens.com </t>
  </si>
  <si>
    <t>Martin</t>
  </si>
  <si>
    <t>60.10.036</t>
  </si>
  <si>
    <t xml:space="preserve">+43 (664) 8011724405 </t>
  </si>
  <si>
    <t xml:space="preserve">martin.kobsik@siemens.com </t>
  </si>
  <si>
    <t>Simon</t>
  </si>
  <si>
    <t>60.09.065</t>
  </si>
  <si>
    <t xml:space="preserve">+43 (664) 8011723715 </t>
  </si>
  <si>
    <t xml:space="preserve">simon.kriha@siemens.com </t>
  </si>
  <si>
    <t>Harald</t>
  </si>
  <si>
    <t>60.02.055</t>
  </si>
  <si>
    <t xml:space="preserve">+43 (664) 8011737571 </t>
  </si>
  <si>
    <t xml:space="preserve">harald.mergl@siemens.com </t>
  </si>
  <si>
    <t>Andreas</t>
  </si>
  <si>
    <t>EG</t>
  </si>
  <si>
    <t xml:space="preserve">+43 (664) 8011732041 </t>
  </si>
  <si>
    <t xml:space="preserve">andreas.pertl@siemens.com </t>
  </si>
  <si>
    <t>Roemer</t>
  </si>
  <si>
    <t>Siegfried</t>
  </si>
  <si>
    <t>60.10.094</t>
  </si>
  <si>
    <t xml:space="preserve">+43 (664) 6153586 </t>
  </si>
  <si>
    <t xml:space="preserve">siegfried.roemer@siemens.com </t>
  </si>
  <si>
    <t>Florian</t>
  </si>
  <si>
    <t>GEBAEUDE 63</t>
  </si>
  <si>
    <t>63.03.011</t>
  </si>
  <si>
    <t xml:space="preserve">+43 (664) 8011731966 </t>
  </si>
  <si>
    <t xml:space="preserve">florian.stegmeier@siemens.com </t>
  </si>
  <si>
    <t>Werner</t>
  </si>
  <si>
    <t>BAU12</t>
  </si>
  <si>
    <t xml:space="preserve">+43 (664) 8011723792 </t>
  </si>
  <si>
    <t xml:space="preserve">werner.treml@siemens.com </t>
  </si>
  <si>
    <t>Leopold</t>
  </si>
  <si>
    <t>BAU68</t>
  </si>
  <si>
    <t xml:space="preserve">+43 (664) 88555449 </t>
  </si>
  <si>
    <t xml:space="preserve">leopold.rudischer@siemens.com </t>
  </si>
  <si>
    <t>B100</t>
  </si>
  <si>
    <t>E055</t>
  </si>
  <si>
    <t xml:space="preserve">+43 51707-41692 </t>
  </si>
  <si>
    <t xml:space="preserve">manfred.wachold@siemens.com </t>
  </si>
  <si>
    <t xml:space="preserve">+43 (664) 8011740705 </t>
  </si>
  <si>
    <t xml:space="preserve">martin.zugriegl@siemens.com </t>
  </si>
  <si>
    <t>BAU04</t>
  </si>
  <si>
    <t xml:space="preserve">+43 (664) 88551631 </t>
  </si>
  <si>
    <t xml:space="preserve">christian.jahrmann@siemens.com </t>
  </si>
  <si>
    <t>Wolfgang</t>
  </si>
  <si>
    <t xml:space="preserve">+43 (664) 88550515 </t>
  </si>
  <si>
    <t xml:space="preserve">wolfgang.grohs@siemens.com </t>
  </si>
  <si>
    <t>Klemens</t>
  </si>
  <si>
    <t xml:space="preserve">+43 (664) 88555551 </t>
  </si>
  <si>
    <t xml:space="preserve">klemens.steiner@siemens.com </t>
  </si>
  <si>
    <t>Roland</t>
  </si>
  <si>
    <t>BAU02</t>
  </si>
  <si>
    <t xml:space="preserve">+43 (664) 8011744247 </t>
  </si>
  <si>
    <t xml:space="preserve">roland.wittich@siemens.com </t>
  </si>
  <si>
    <t>BAU01</t>
  </si>
  <si>
    <t xml:space="preserve">+43 (664) 8011765915 </t>
  </si>
  <si>
    <t xml:space="preserve">martin.reisinger@siemens.com </t>
  </si>
  <si>
    <t>BAU E</t>
  </si>
  <si>
    <t>E605</t>
  </si>
  <si>
    <t xml:space="preserve">+43 (664) 6154915 </t>
  </si>
  <si>
    <t xml:space="preserve">siegfried.tauber@siemens.com </t>
  </si>
  <si>
    <t>Karlheinz</t>
  </si>
  <si>
    <t xml:space="preserve">+43 (664) 88553753 </t>
  </si>
  <si>
    <t xml:space="preserve">karlheinz.kerschbaumer.ext@siemens.com </t>
  </si>
  <si>
    <t>Clemens</t>
  </si>
  <si>
    <t>INN NLI</t>
  </si>
  <si>
    <t xml:space="preserve">+43 (664) 8011767213 </t>
  </si>
  <si>
    <t xml:space="preserve">clemens.engel@siemens.com </t>
  </si>
  <si>
    <t>E03</t>
  </si>
  <si>
    <t xml:space="preserve">+43 (664) 8011763777 </t>
  </si>
  <si>
    <t xml:space="preserve">roland.schruef@siemens.com </t>
  </si>
  <si>
    <t>B163</t>
  </si>
  <si>
    <t xml:space="preserve">+43 (664) 88550008 </t>
  </si>
  <si>
    <t xml:space="preserve">werner.j.krenn@siemens.com </t>
  </si>
  <si>
    <t>Eveline</t>
  </si>
  <si>
    <t xml:space="preserve">+43 (664) 88551803 </t>
  </si>
  <si>
    <t xml:space="preserve">eveline.wolf@siemens.com </t>
  </si>
  <si>
    <t>Juergen</t>
  </si>
  <si>
    <t xml:space="preserve">+43 (664) 88550010 </t>
  </si>
  <si>
    <t xml:space="preserve">juergen.maikisch@etm.at </t>
  </si>
  <si>
    <t>Moerth</t>
  </si>
  <si>
    <t>Kurt</t>
  </si>
  <si>
    <t xml:space="preserve">+43 (676) 4732016 </t>
  </si>
  <si>
    <t xml:space="preserve">moerth.kurt.ext@siemens.com </t>
  </si>
  <si>
    <t>Abgebender BSP:</t>
  </si>
  <si>
    <t>Adresse</t>
  </si>
  <si>
    <t>Geschlecht</t>
  </si>
  <si>
    <t>Herr</t>
  </si>
  <si>
    <t>Frau</t>
  </si>
  <si>
    <t>Standort Abholung:</t>
  </si>
  <si>
    <t>Standortadresse</t>
  </si>
  <si>
    <t>1210 Wien, Siemensstrasse 90 (Einfahrt Heinrich-von-Buol Gasse 5)</t>
  </si>
  <si>
    <t>6020 Innsbruck, Werner-von-Siemensstrasse 9</t>
  </si>
  <si>
    <t>8160 Weiz, Elingasse 3</t>
  </si>
  <si>
    <t>1210 Wien, Autokaderstrasse 29</t>
  </si>
  <si>
    <t>9020 Klagenfurt, Werner-von-Siemens-Park 1</t>
  </si>
  <si>
    <t>8020 Graz, Eggenberger Strasse 31</t>
  </si>
  <si>
    <t>7000 Eisenstadt, Marktstrasse 3</t>
  </si>
  <si>
    <t>6900 Bregenz, Josef-Hutter-Strasse 6</t>
  </si>
  <si>
    <t>4020 Linz, Wolfgang-Pauli-Strasse 2</t>
  </si>
  <si>
    <t>1210 Wien, Ruthnergasse 3</t>
  </si>
  <si>
    <t>4021 Linz, Krausstrasse 1 - 7</t>
  </si>
  <si>
    <t>1110 Wien, Leberstrasse 34</t>
  </si>
  <si>
    <t>5021 Salzburg, Werner-von-Siemens-Platz 1</t>
  </si>
  <si>
    <t>Detaildaten</t>
  </si>
  <si>
    <t>22 Zoll Bildschirm</t>
  </si>
  <si>
    <t>Ser. Nr.
IMEI Nr.</t>
  </si>
  <si>
    <t>Erstellt:</t>
  </si>
  <si>
    <t>Gerhard Jungmann GS IT EU2</t>
  </si>
  <si>
    <t>Bau 01, 2 OG</t>
  </si>
  <si>
    <t>E06</t>
  </si>
  <si>
    <t>Beamer</t>
  </si>
  <si>
    <t>Laserdrucker</t>
  </si>
  <si>
    <t>Tintenstrahldrucker</t>
  </si>
  <si>
    <t>Plotter</t>
  </si>
  <si>
    <t>Tablet</t>
  </si>
  <si>
    <t>Menge</t>
  </si>
  <si>
    <t>1 Stk.</t>
  </si>
  <si>
    <t>1 Kiste</t>
  </si>
  <si>
    <t>Smartphone iOS Plattform</t>
  </si>
  <si>
    <t>Smartphone Android Plattform</t>
  </si>
  <si>
    <t>Smartphone Microsoft Plattform</t>
  </si>
  <si>
    <t>Standardhandy</t>
  </si>
  <si>
    <t>Beamer tragbar</t>
  </si>
  <si>
    <t>Beamer Deckenmontage</t>
  </si>
  <si>
    <t>Stand PC</t>
  </si>
  <si>
    <t>Notebook 15"</t>
  </si>
  <si>
    <t>UMTS WLAN Router (div. Hersteller)</t>
  </si>
  <si>
    <t>Roundtable Kamera</t>
  </si>
  <si>
    <t>Soundstation</t>
  </si>
  <si>
    <t>Tablet iOS Plattform</t>
  </si>
  <si>
    <t>Tablet Android Plattform</t>
  </si>
  <si>
    <t>Baliko</t>
  </si>
  <si>
    <t>Ludwig</t>
  </si>
  <si>
    <t>Halle 14</t>
  </si>
  <si>
    <t>Bau 34</t>
  </si>
  <si>
    <t>Hardphone</t>
  </si>
  <si>
    <t>Jungmann (34)</t>
  </si>
  <si>
    <t>fortlaufende
Nummer</t>
  </si>
  <si>
    <t>VoIP Hardphones / analoge Hardphones / dig. Hardphones</t>
  </si>
  <si>
    <t>BAU22 (ohne Aufzug)</t>
  </si>
  <si>
    <t>Bemerkung
(z.B. BIOS PW nicht gelöscht, ohne Akku, …)</t>
  </si>
  <si>
    <t>1.6</t>
  </si>
  <si>
    <t>Spalten K, L, M zum Beschreiben für IT4next verfügbar gemacht</t>
  </si>
  <si>
    <t>2.00</t>
  </si>
  <si>
    <t>Entsorger</t>
  </si>
  <si>
    <t>AN</t>
  </si>
  <si>
    <t>CC1</t>
  </si>
  <si>
    <t>CC2</t>
  </si>
  <si>
    <t>CC3</t>
  </si>
  <si>
    <t>CC4</t>
  </si>
  <si>
    <t>CC5</t>
  </si>
  <si>
    <t>Sehr geehrte Damen und Herren,</t>
  </si>
  <si>
    <t>Vielen Dank</t>
  </si>
  <si>
    <t>Name</t>
  </si>
  <si>
    <t>Reihe 1</t>
  </si>
  <si>
    <t>Reihe 2</t>
  </si>
  <si>
    <t>Reihe 3</t>
  </si>
  <si>
    <t>Reihe 4</t>
  </si>
  <si>
    <t>Reihe 5</t>
  </si>
  <si>
    <t>Reihe 6</t>
  </si>
  <si>
    <t>Reihe 7</t>
  </si>
  <si>
    <t>Reihe 8</t>
  </si>
  <si>
    <t>Reihe 9</t>
  </si>
  <si>
    <t>Reihe 10</t>
  </si>
  <si>
    <t>Reihe 11</t>
  </si>
  <si>
    <t>Reihe 12</t>
  </si>
  <si>
    <t>Reihe 13</t>
  </si>
  <si>
    <t>Reihe 14</t>
  </si>
  <si>
    <t>Reihe 15</t>
  </si>
  <si>
    <t>Reihe 16</t>
  </si>
  <si>
    <t>Reihe 17</t>
  </si>
  <si>
    <t>Reihe 18</t>
  </si>
  <si>
    <t>Reihe 19</t>
  </si>
  <si>
    <t>Reihe 20</t>
  </si>
  <si>
    <t>Reihe 21</t>
  </si>
  <si>
    <t>Reihe 22</t>
  </si>
  <si>
    <t>Reihe 23</t>
  </si>
  <si>
    <t>Reihe 24</t>
  </si>
  <si>
    <t>Reihe 25</t>
  </si>
  <si>
    <t>Reihe 26</t>
  </si>
  <si>
    <t>Reihe 27</t>
  </si>
  <si>
    <t>Reihe 28</t>
  </si>
  <si>
    <t>Reihe 29</t>
  </si>
  <si>
    <t>Reihe 30</t>
  </si>
  <si>
    <t>Reihe 31</t>
  </si>
  <si>
    <t>Reihe 32</t>
  </si>
  <si>
    <t>Reihe 33</t>
  </si>
  <si>
    <t>Reihe 34</t>
  </si>
  <si>
    <t>Reihe 35</t>
  </si>
  <si>
    <t>Reihe 36</t>
  </si>
  <si>
    <t>Reihe 37</t>
  </si>
  <si>
    <t>Reihe 38</t>
  </si>
  <si>
    <t>Reihe 39</t>
  </si>
  <si>
    <t>Reihe 40</t>
  </si>
  <si>
    <t>Reihe 41</t>
  </si>
  <si>
    <t>Reihe 42</t>
  </si>
  <si>
    <t>Reihe 43</t>
  </si>
  <si>
    <t>Reihe 44</t>
  </si>
  <si>
    <t>Reihe 45</t>
  </si>
  <si>
    <t>Reihe 46</t>
  </si>
  <si>
    <t>Reihe 47</t>
  </si>
  <si>
    <t>Reihe 48</t>
  </si>
  <si>
    <t>Reihe 49</t>
  </si>
  <si>
    <t>Reihe 50</t>
  </si>
  <si>
    <t>Überschrift</t>
  </si>
  <si>
    <t>Seriennummer</t>
  </si>
  <si>
    <t>Bezeichnung</t>
  </si>
  <si>
    <t>0062198765</t>
  </si>
  <si>
    <t>dsds123456</t>
  </si>
  <si>
    <t>0062198764</t>
  </si>
  <si>
    <t>0062198763</t>
  </si>
  <si>
    <t>0062198762</t>
  </si>
  <si>
    <t>0062198761</t>
  </si>
  <si>
    <t>0062198760</t>
  </si>
  <si>
    <t>0062198759</t>
  </si>
  <si>
    <t>0062198758</t>
  </si>
  <si>
    <t>0062198757</t>
  </si>
  <si>
    <t>0062198756</t>
  </si>
  <si>
    <t>0062198755</t>
  </si>
  <si>
    <t>0062198754</t>
  </si>
  <si>
    <t>0062198753</t>
  </si>
  <si>
    <t>0062198752</t>
  </si>
  <si>
    <t>0062198751</t>
  </si>
  <si>
    <t>0062198750</t>
  </si>
  <si>
    <t>0062198749</t>
  </si>
  <si>
    <t>0062198748</t>
  </si>
  <si>
    <t>0062198746</t>
  </si>
  <si>
    <t>0062198745</t>
  </si>
  <si>
    <t>0062198744</t>
  </si>
  <si>
    <t>0062198743</t>
  </si>
  <si>
    <t>0062198742</t>
  </si>
  <si>
    <t>0062198741</t>
  </si>
  <si>
    <t>0062198740</t>
  </si>
  <si>
    <t>0062198739</t>
  </si>
  <si>
    <t>0062198738</t>
  </si>
  <si>
    <t>0062198737</t>
  </si>
  <si>
    <t>0062198736</t>
  </si>
  <si>
    <t>0062198735</t>
  </si>
  <si>
    <t>0062198734</t>
  </si>
  <si>
    <t>0062198733</t>
  </si>
  <si>
    <t>0062198731</t>
  </si>
  <si>
    <t>0062198730</t>
  </si>
  <si>
    <t>0062198729</t>
  </si>
  <si>
    <t>0062198728</t>
  </si>
  <si>
    <t>0062198727</t>
  </si>
  <si>
    <t>0062198726</t>
  </si>
  <si>
    <t>0062198725</t>
  </si>
  <si>
    <t>0062198724</t>
  </si>
  <si>
    <t>0062198723</t>
  </si>
  <si>
    <t>0062198722</t>
  </si>
  <si>
    <t>0062198721</t>
  </si>
  <si>
    <t>0062198720</t>
  </si>
  <si>
    <t>0062198719</t>
  </si>
  <si>
    <t>0062198718</t>
  </si>
  <si>
    <t>0062198717</t>
  </si>
  <si>
    <t>0062198716</t>
  </si>
  <si>
    <t>dsds123457</t>
  </si>
  <si>
    <t>dsds123458</t>
  </si>
  <si>
    <t>dsds123459</t>
  </si>
  <si>
    <t>dsds123460</t>
  </si>
  <si>
    <t>dsds123461</t>
  </si>
  <si>
    <t>dsds123462</t>
  </si>
  <si>
    <t>dsds123463</t>
  </si>
  <si>
    <t>dsds123464</t>
  </si>
  <si>
    <t>dsds123465</t>
  </si>
  <si>
    <t>dsds123466</t>
  </si>
  <si>
    <t>dsds123467</t>
  </si>
  <si>
    <t>dsds123468</t>
  </si>
  <si>
    <t>dsds123469</t>
  </si>
  <si>
    <t>dsds123470</t>
  </si>
  <si>
    <t>dsds123471</t>
  </si>
  <si>
    <t>dsds123472</t>
  </si>
  <si>
    <t>dsds123473</t>
  </si>
  <si>
    <t>dsds123475</t>
  </si>
  <si>
    <t>dsds123476</t>
  </si>
  <si>
    <t>dsds123477</t>
  </si>
  <si>
    <t>dsds123478</t>
  </si>
  <si>
    <t>dsds123479</t>
  </si>
  <si>
    <t>dsds123480</t>
  </si>
  <si>
    <t>dsds123481</t>
  </si>
  <si>
    <t>dsds123482</t>
  </si>
  <si>
    <t>dsds123483</t>
  </si>
  <si>
    <t>dsds123484</t>
  </si>
  <si>
    <t>dsds123485</t>
  </si>
  <si>
    <t>dsds123486</t>
  </si>
  <si>
    <t>dsds123487</t>
  </si>
  <si>
    <t>dsds123488</t>
  </si>
  <si>
    <t>dsds123490</t>
  </si>
  <si>
    <t>dsds123491</t>
  </si>
  <si>
    <t>dsds123492</t>
  </si>
  <si>
    <t>dsds123493</t>
  </si>
  <si>
    <t>dsds123494</t>
  </si>
  <si>
    <t>dsds123495</t>
  </si>
  <si>
    <t>dsds123496</t>
  </si>
  <si>
    <t>dsds123497</t>
  </si>
  <si>
    <t>dsds123498</t>
  </si>
  <si>
    <t>dsds123499</t>
  </si>
  <si>
    <t>dsds123500</t>
  </si>
  <si>
    <t>dsds123501</t>
  </si>
  <si>
    <t>dsds123502</t>
  </si>
  <si>
    <t>dsds123503</t>
  </si>
  <si>
    <t>dsds123504</t>
  </si>
  <si>
    <t>dsds123505</t>
  </si>
  <si>
    <t xml:space="preserve">Ein Alt+Enter Eintrag </t>
  </si>
  <si>
    <t xml:space="preserve">
</t>
  </si>
  <si>
    <t>Betreff Mail_Entsorgung</t>
  </si>
  <si>
    <t>Body Entsorgung</t>
  </si>
  <si>
    <t>IT-Entsorgungsauftrag</t>
  </si>
  <si>
    <t>Bitte um Abholung der in der Anlage aufgelisteten Altteile.</t>
  </si>
  <si>
    <t>Details zum Abholort können Sie ebenfalls der Anlage entnehmen.</t>
  </si>
  <si>
    <t>TFT Bildschirm</t>
  </si>
  <si>
    <t>logistics@i4next.com</t>
  </si>
  <si>
    <t>Altgeraete_AT@ws803.internal.siemens.com</t>
  </si>
  <si>
    <t>Makro Mail an IT4Next, Anlage Parameter-Sheet, Mail Auscheidungen begonnen aber wegen Änderung der Anforderungen eingestellt. Bis klar ist, ob hier noch weitere Anforderungen kommen, habe ich die Fragmente hier belassen.</t>
  </si>
  <si>
    <t>Version</t>
  </si>
  <si>
    <t>Änderungsbeschreibung</t>
  </si>
  <si>
    <t>Durchführender</t>
  </si>
  <si>
    <t>Datum</t>
  </si>
  <si>
    <t>Jürgen</t>
  </si>
  <si>
    <t xml:space="preserve">+43 (664) 6150326 </t>
  </si>
  <si>
    <t xml:space="preserve">juergen.schweighofer@siemens.com </t>
  </si>
  <si>
    <t>Z003A53R</t>
  </si>
  <si>
    <t>8053 Graz, Straßganger Strasse 315</t>
  </si>
  <si>
    <t>2.01</t>
  </si>
  <si>
    <t>Schweighofer J.</t>
  </si>
  <si>
    <t>Schweighofer H.</t>
  </si>
  <si>
    <t>Herr Jürgen Schweighofer J. ; GRZ NLG ; BAU01 ; E03</t>
  </si>
  <si>
    <t>Jürgen Schweighofer hinzugefügt, Schweighofers mit J. bzw. H. separiert</t>
  </si>
  <si>
    <t>2.02</t>
  </si>
  <si>
    <t>Namensbereich Produkt löschen und neu definieren, damit wieder am ersten Produkt aufgesetzt wird</t>
  </si>
  <si>
    <t>2.03</t>
  </si>
  <si>
    <t>Produkte reduziert Notebooks 12'', 13', … reduziert auf Notebook</t>
  </si>
  <si>
    <t>17.05.2017 MK</t>
  </si>
  <si>
    <t>2.04</t>
  </si>
  <si>
    <t>Jungmann aus CC entfernt</t>
  </si>
  <si>
    <t>Rev.: 2.04</t>
  </si>
  <si>
    <t>0062128130</t>
  </si>
  <si>
    <t>03J115300045</t>
  </si>
  <si>
    <t>0062128129</t>
  </si>
  <si>
    <t>03J115300037</t>
  </si>
  <si>
    <t>0062125253</t>
  </si>
  <si>
    <t>03J103901605</t>
  </si>
  <si>
    <t>0062125252</t>
  </si>
  <si>
    <t>03J103901625</t>
  </si>
  <si>
    <t>Thermotransferdrucker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</si>
</sst>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Arial"/>
      <family val="2"/>
    </font>
    <font>
      <sz val="22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6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  <border>
      <left style="thin">
        <color rgb="FFEEECE1"/>
      </left>
      <right style="thin">
        <color rgb="FFEEECE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2" fillId="3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4" fillId="0" borderId="0" xfId="0" applyFont="1"/>
    <xf numFmtId="0" fontId="5" fillId="0" borderId="0" xfId="0" applyFont="1"/>
    <xf numFmtId="14" fontId="5" fillId="0" borderId="0" xfId="0" applyNumberFormat="1" applyFont="1" applyAlignment="1">
      <alignment horizontal="left"/>
    </xf>
    <xf numFmtId="0" fontId="0" fillId="0" borderId="3" xfId="0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0" borderId="3" xfId="0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0" fillId="0" borderId="3" xfId="0" applyBorder="1" applyAlignment="1" applyProtection="1">
      <alignment horizontal="center"/>
      <protection locked="0"/>
    </xf>
    <xf numFmtId="49" fontId="0" fillId="0" borderId="3" xfId="0" applyNumberFormat="1" applyBorder="1" applyProtection="1">
      <protection locked="0"/>
    </xf>
    <xf numFmtId="0" fontId="0" fillId="0" borderId="5" xfId="0" applyBorder="1"/>
    <xf numFmtId="49" fontId="0" fillId="0" borderId="3" xfId="0" quotePrefix="1" applyNumberFormat="1" applyBorder="1" applyProtection="1">
      <protection locked="0"/>
    </xf>
    <xf numFmtId="0" fontId="6" fillId="0" borderId="3" xfId="1" applyBorder="1" applyAlignment="1" applyProtection="1">
      <alignment textRotation="90"/>
      <protection locked="0"/>
    </xf>
    <xf numFmtId="0" fontId="0" fillId="0" borderId="17" xfId="0" applyBorder="1" applyProtection="1">
      <protection locked="0"/>
    </xf>
    <xf numFmtId="0" fontId="0" fillId="0" borderId="19" xfId="0" applyBorder="1" applyAlignment="1" applyProtection="1">
      <alignment wrapText="1"/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quotePrefix="1"/>
    <xf numFmtId="0" fontId="6" fillId="0" borderId="0" xfId="1" applyAlignment="1" applyProtection="1"/>
    <xf numFmtId="0" fontId="1" fillId="2" borderId="1" xfId="0" applyFont="1" applyFill="1" applyBorder="1" applyAlignment="1" applyProtection="1">
      <alignment horizontal="left"/>
      <protection locked="0"/>
    </xf>
    <xf numFmtId="0" fontId="1" fillId="2" borderId="7" xfId="0" applyFont="1" applyFill="1" applyBorder="1" applyAlignment="1" applyProtection="1">
      <alignment horizontal="left"/>
      <protection locked="0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</cellXfs>
  <cellStyles count="2">
    <cellStyle name="Hyperlink" xfId="1" builtinId="8"/>
    <cellStyle name="Normal" xfId="0" builtinId="0"/>
  </cellStyles>
  <dxfs count="38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899160</xdr:colOff>
      <xdr:row>0</xdr:row>
      <xdr:rowOff>83820</xdr:rowOff>
    </xdr:from>
    <xdr:to>
      <xdr:col>5</xdr:col>
      <xdr:colOff>3810</xdr:colOff>
      <xdr:row>5</xdr:row>
      <xdr:rowOff>45720</xdr:rowOff>
    </xdr:to>
    <xdr:pic macro="[0]!SendENTSORGUNG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38900" y="83820"/>
          <a:ext cx="1485900" cy="10287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2</xdr:row>
      <xdr:rowOff>30480</xdr:rowOff>
    </xdr:from>
    <xdr:to>
      <xdr:col>1</xdr:col>
      <xdr:colOff>708660</xdr:colOff>
      <xdr:row>8</xdr:row>
      <xdr:rowOff>53340</xdr:rowOff>
    </xdr:to>
    <xdr:pic macro="[0]!SendENTSORGUNG">
      <xdr:nvPicPr>
        <xdr:cNvPr id="2050" name="Picture 2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" y="365760"/>
          <a:ext cx="1485900" cy="10287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22860</xdr:colOff>
      <xdr:row>8</xdr:row>
      <xdr:rowOff>30480</xdr:rowOff>
    </xdr:from>
    <xdr:to>
      <xdr:col>1</xdr:col>
      <xdr:colOff>708660</xdr:colOff>
      <xdr:row>14</xdr:row>
      <xdr:rowOff>53340</xdr:rowOff>
    </xdr:to>
    <xdr:pic macro="[0]!SendAUSSCHEIDUNG">
      <xdr:nvPicPr>
        <xdr:cNvPr id="2052" name="Picture 4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2860" y="1371600"/>
          <a:ext cx="1478280" cy="10287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juergen.schweighofer@siemens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ltgeraete_AT@ws803.internal.siemens.com" TargetMode="External"/><Relationship Id="rId1" Type="http://schemas.openxmlformats.org/officeDocument/2006/relationships/hyperlink" Target="mailto:logistics@i4next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M69"/>
  <sheetViews>
    <sheetView tabSelected="1" workbookViewId="0">
      <pane ySplit="7" topLeftCell="A8" activePane="bottomLeft" state="frozenSplit"/>
      <selection pane="bottomLeft" activeCell="I16" sqref="I16"/>
    </sheetView>
  </sheetViews>
  <sheetFormatPr defaultColWidth="11.453125" defaultRowHeight="12.5" x14ac:dyDescent="0.25"/>
  <cols>
    <col min="2" max="2" width="17" customWidth="1"/>
    <col min="3" max="3" width="24" customWidth="1"/>
    <col min="4" max="4" width="28.26953125" customWidth="1"/>
    <col min="5" max="5" width="34.81640625" customWidth="1"/>
    <col min="6" max="6" width="12.81640625" customWidth="1"/>
    <col min="7" max="8" width="10.26953125" customWidth="1"/>
    <col min="9" max="9" width="57.1796875" customWidth="1"/>
    <col min="10" max="10" width="28.7265625" customWidth="1"/>
    <col min="11" max="13" width="4.453125" style="9" customWidth="1"/>
  </cols>
  <sheetData>
    <row r="1" spans="1:10" ht="28.5" thickTop="1" thickBot="1" x14ac:dyDescent="0.6">
      <c r="A1" s="30" t="s">
        <v>209</v>
      </c>
      <c r="B1" s="31"/>
      <c r="C1" s="31"/>
      <c r="D1" s="8" t="s">
        <v>80</v>
      </c>
      <c r="F1" s="9"/>
      <c r="G1" s="9"/>
      <c r="H1" s="9"/>
      <c r="I1" s="9"/>
      <c r="J1" s="9"/>
    </row>
    <row r="2" spans="1:10" ht="13.5" thickTop="1" thickBot="1" x14ac:dyDescent="0.3">
      <c r="B2" s="9"/>
      <c r="C2" s="9"/>
      <c r="D2" s="9"/>
      <c r="E2" s="9"/>
      <c r="F2" s="9"/>
      <c r="G2" s="9"/>
      <c r="H2" s="9"/>
      <c r="I2" s="9"/>
      <c r="J2" s="9"/>
    </row>
    <row r="3" spans="1:10" ht="13" thickTop="1" x14ac:dyDescent="0.25">
      <c r="A3" s="35" t="s">
        <v>214</v>
      </c>
      <c r="B3" s="36"/>
      <c r="C3" s="36"/>
      <c r="D3" s="37"/>
      <c r="F3" s="9"/>
      <c r="G3" s="9"/>
      <c r="H3" s="9"/>
      <c r="I3" s="9"/>
      <c r="J3" s="9"/>
    </row>
    <row r="4" spans="1:10" x14ac:dyDescent="0.25">
      <c r="A4" s="32" t="str">
        <f>VLOOKUP(D1,BSPs!$A$1:$K$35,11,FALSE)</f>
        <v>8020 Graz, Eggenberger Strasse 31</v>
      </c>
      <c r="B4" s="33"/>
      <c r="C4" s="33"/>
      <c r="D4" s="34"/>
      <c r="F4" s="9"/>
      <c r="G4" s="9"/>
      <c r="H4" s="9"/>
      <c r="I4" s="9"/>
      <c r="J4" s="9"/>
    </row>
    <row r="5" spans="1:10" ht="13" thickBot="1" x14ac:dyDescent="0.3">
      <c r="A5" s="38" t="str">
        <f>VLOOKUP(D1,BSPs!$A$1:$J$35,10,FALSE)</f>
        <v>Herr Werner Krenn ; GRZ EGGEN ; B163 ; EG</v>
      </c>
      <c r="B5" s="39"/>
      <c r="C5" s="39"/>
      <c r="D5" s="40"/>
      <c r="F5" s="9"/>
      <c r="G5" s="9"/>
      <c r="H5" s="9"/>
      <c r="I5" s="9"/>
      <c r="J5" s="9"/>
    </row>
    <row r="6" spans="1:10" ht="13.5" thickTop="1" thickBot="1" x14ac:dyDescent="0.3">
      <c r="B6" s="9"/>
      <c r="C6" s="9"/>
      <c r="D6" s="9"/>
      <c r="E6" s="9"/>
      <c r="F6" s="9"/>
      <c r="G6" s="9"/>
      <c r="H6" s="9"/>
      <c r="I6" s="9"/>
      <c r="J6" s="9"/>
    </row>
    <row r="7" spans="1:10" ht="25" x14ac:dyDescent="0.25">
      <c r="A7" s="11" t="s">
        <v>263</v>
      </c>
      <c r="B7" s="10" t="s">
        <v>0</v>
      </c>
      <c r="C7" s="10" t="s">
        <v>1</v>
      </c>
      <c r="D7" s="11" t="s">
        <v>231</v>
      </c>
      <c r="E7" s="10" t="s">
        <v>2</v>
      </c>
      <c r="F7" s="10" t="s">
        <v>3</v>
      </c>
      <c r="G7" s="10" t="s">
        <v>4</v>
      </c>
      <c r="H7" s="10" t="s">
        <v>241</v>
      </c>
      <c r="I7" s="11" t="s">
        <v>266</v>
      </c>
      <c r="J7" s="10" t="s">
        <v>5</v>
      </c>
    </row>
    <row r="8" spans="1:10" x14ac:dyDescent="0.25">
      <c r="A8" s="7">
        <v>1</v>
      </c>
      <c r="B8" s="7">
        <v>6000124824</v>
      </c>
      <c r="C8" s="19" t="s">
        <v>462</v>
      </c>
      <c r="D8" s="17" t="s">
        <v>463</v>
      </c>
      <c r="E8" s="7" t="s">
        <v>238</v>
      </c>
      <c r="F8" s="13" t="str">
        <f>VLOOKUP(Erfassungsblatt!E8,Produkte!A:B,2,FALSE)</f>
        <v>Tintenstrahldrucker</v>
      </c>
      <c r="G8" s="12">
        <f>VLOOKUP(F8,Abfallcode!A:B,2,FALSE)</f>
        <v>35231</v>
      </c>
      <c r="H8" s="16" t="s">
        <v>242</v>
      </c>
      <c r="I8" s="16" t="s">
        <v>470</v>
      </c>
      <c r="J8" s="41"/>
    </row>
    <row r="9" spans="1:10" x14ac:dyDescent="0.25">
      <c r="A9" s="7">
        <v>2</v>
      </c>
      <c r="B9" s="7">
        <v>6000124823</v>
      </c>
      <c r="C9" s="19" t="s">
        <v>464</v>
      </c>
      <c r="D9" s="17" t="s">
        <v>465</v>
      </c>
      <c r="E9" s="7" t="s">
        <v>238</v>
      </c>
      <c r="F9" s="13" t="str">
        <f>VLOOKUP(Erfassungsblatt!E9,Produkte!A:B,2,FALSE)</f>
        <v>Tintenstrahldrucker</v>
      </c>
      <c r="G9" s="12">
        <f>VLOOKUP(F9,Abfallcode!A:B,2,FALSE)</f>
        <v>35231</v>
      </c>
      <c r="H9" s="16" t="s">
        <v>242</v>
      </c>
      <c r="I9" s="16" t="s">
        <v>470</v>
      </c>
      <c r="J9" s="42"/>
    </row>
    <row r="10" spans="1:10" x14ac:dyDescent="0.25">
      <c r="A10" s="7">
        <v>3</v>
      </c>
      <c r="B10" s="7">
        <v>6000107749</v>
      </c>
      <c r="C10" s="19" t="s">
        <v>466</v>
      </c>
      <c r="D10" s="17" t="s">
        <v>467</v>
      </c>
      <c r="E10" s="7" t="s">
        <v>238</v>
      </c>
      <c r="F10" s="13" t="str">
        <f>VLOOKUP(Erfassungsblatt!E10,Produkte!A:B,2,FALSE)</f>
        <v>Tintenstrahldrucker</v>
      </c>
      <c r="G10" s="12">
        <f>VLOOKUP(F10,Abfallcode!A:B,2,FALSE)</f>
        <v>35231</v>
      </c>
      <c r="H10" s="16" t="s">
        <v>242</v>
      </c>
      <c r="I10" s="16" t="s">
        <v>470</v>
      </c>
      <c r="J10" s="42"/>
    </row>
    <row r="11" spans="1:10" x14ac:dyDescent="0.25">
      <c r="A11" s="7">
        <v>4</v>
      </c>
      <c r="B11" s="7">
        <v>6000107748</v>
      </c>
      <c r="C11" s="19" t="s">
        <v>468</v>
      </c>
      <c r="D11" s="17" t="s">
        <v>469</v>
      </c>
      <c r="E11" s="7" t="s">
        <v>238</v>
      </c>
      <c r="F11" s="13" t="str">
        <f>VLOOKUP(Erfassungsblatt!E11,Produkte!A:B,2,FALSE)</f>
        <v>Tintenstrahldrucker</v>
      </c>
      <c r="G11" s="12">
        <f>VLOOKUP(F11,Abfallcode!A:B,2,FALSE)</f>
        <v>35231</v>
      </c>
      <c r="H11" s="16" t="s">
        <v>242</v>
      </c>
      <c r="I11" s="16" t="s">
        <v>470</v>
      </c>
      <c r="J11" s="42"/>
    </row>
    <row r="12" spans="1:10" x14ac:dyDescent="0.25">
      <c r="A12" s="7">
        <v>5</v>
      </c>
      <c r="B12" s="7"/>
      <c r="C12" s="19"/>
      <c r="D12" s="17"/>
      <c r="E12" s="7"/>
      <c r="F12" s="13" t="e">
        <f>VLOOKUP(Erfassungsblatt!E12,Produkte!A:B,2,FALSE)</f>
        <v>#N/A</v>
      </c>
      <c r="G12" s="12" t="e">
        <f>VLOOKUP(F12,Abfallcode!A:B,2,FALSE)</f>
        <v>#N/A</v>
      </c>
      <c r="H12" s="16"/>
      <c r="I12" s="16"/>
      <c r="J12" s="42"/>
    </row>
    <row r="13" spans="1:10" x14ac:dyDescent="0.25">
      <c r="A13" s="7">
        <v>6</v>
      </c>
      <c r="B13" s="7"/>
      <c r="C13" s="19"/>
      <c r="D13" s="17"/>
      <c r="E13" s="7"/>
      <c r="F13" s="13" t="e">
        <f>VLOOKUP(Erfassungsblatt!E13,Produkte!A:B,2,FALSE)</f>
        <v>#N/A</v>
      </c>
      <c r="G13" s="12" t="e">
        <f>VLOOKUP(F13,Abfallcode!A:B,2,FALSE)</f>
        <v>#N/A</v>
      </c>
      <c r="H13" s="16"/>
      <c r="I13" s="16"/>
      <c r="J13" s="42"/>
    </row>
    <row r="14" spans="1:10" x14ac:dyDescent="0.25">
      <c r="A14" s="7">
        <v>7</v>
      </c>
      <c r="B14" s="7"/>
      <c r="C14" s="19"/>
      <c r="D14" s="17"/>
      <c r="E14" s="7"/>
      <c r="F14" s="13" t="e">
        <f>VLOOKUP(Erfassungsblatt!E14,Produkte!A:B,2,FALSE)</f>
        <v>#N/A</v>
      </c>
      <c r="G14" s="12" t="e">
        <f>VLOOKUP(F14,Abfallcode!A:B,2,FALSE)</f>
        <v>#N/A</v>
      </c>
      <c r="H14" s="16"/>
      <c r="I14" s="16"/>
      <c r="J14" s="42"/>
    </row>
    <row r="15" spans="1:10" x14ac:dyDescent="0.25">
      <c r="A15" s="7">
        <v>8</v>
      </c>
      <c r="B15" s="7"/>
      <c r="C15" s="19"/>
      <c r="D15" s="17"/>
      <c r="E15" s="7"/>
      <c r="F15" s="13" t="e">
        <f>VLOOKUP(Erfassungsblatt!E15,Produkte!A:B,2,FALSE)</f>
        <v>#N/A</v>
      </c>
      <c r="G15" s="12" t="e">
        <f>VLOOKUP(F15,Abfallcode!A:B,2,FALSE)</f>
        <v>#N/A</v>
      </c>
      <c r="H15" s="16"/>
      <c r="I15" s="16"/>
      <c r="J15" s="42"/>
    </row>
    <row r="16" spans="1:10" x14ac:dyDescent="0.25">
      <c r="A16" s="7">
        <v>9</v>
      </c>
      <c r="B16" s="7"/>
      <c r="C16" s="19"/>
      <c r="D16" s="17"/>
      <c r="E16" s="7"/>
      <c r="F16" s="13" t="e">
        <f>VLOOKUP(Erfassungsblatt!E16,Produkte!A:B,2,FALSE)</f>
        <v>#N/A</v>
      </c>
      <c r="G16" s="12" t="e">
        <f>VLOOKUP(F16,Abfallcode!A:B,2,FALSE)</f>
        <v>#N/A</v>
      </c>
      <c r="H16" s="16"/>
      <c r="I16" s="16"/>
      <c r="J16" s="42"/>
    </row>
    <row r="17" spans="1:10" x14ac:dyDescent="0.25">
      <c r="A17" s="7">
        <v>10</v>
      </c>
      <c r="B17" s="7"/>
      <c r="C17" s="19"/>
      <c r="D17" s="17"/>
      <c r="E17" s="7"/>
      <c r="F17" s="13" t="e">
        <f>VLOOKUP(Erfassungsblatt!E17,Produkte!A:B,2,FALSE)</f>
        <v>#N/A</v>
      </c>
      <c r="G17" s="12" t="e">
        <f>VLOOKUP(F17,Abfallcode!A:B,2,FALSE)</f>
        <v>#N/A</v>
      </c>
      <c r="H17" s="16"/>
      <c r="I17" s="16"/>
      <c r="J17" s="42"/>
    </row>
    <row r="18" spans="1:10" x14ac:dyDescent="0.25">
      <c r="A18" s="7">
        <v>11</v>
      </c>
      <c r="B18" s="7"/>
      <c r="C18" s="19"/>
      <c r="D18" s="17"/>
      <c r="E18" s="7"/>
      <c r="F18" s="13" t="e">
        <f>VLOOKUP(Erfassungsblatt!E18,Produkte!A:B,2,FALSE)</f>
        <v>#N/A</v>
      </c>
      <c r="G18" s="12" t="e">
        <f>VLOOKUP(F18,Abfallcode!A:B,2,FALSE)</f>
        <v>#N/A</v>
      </c>
      <c r="H18" s="16"/>
      <c r="I18" s="16"/>
      <c r="J18" s="42"/>
    </row>
    <row r="19" spans="1:10" x14ac:dyDescent="0.25">
      <c r="A19" s="7">
        <v>12</v>
      </c>
      <c r="B19" s="7"/>
      <c r="C19" s="19"/>
      <c r="D19" s="17"/>
      <c r="E19" s="7"/>
      <c r="F19" s="13" t="e">
        <f>VLOOKUP(Erfassungsblatt!E19,Produkte!A:B,2,FALSE)</f>
        <v>#N/A</v>
      </c>
      <c r="G19" s="12" t="e">
        <f>VLOOKUP(F19,Abfallcode!A:B,2,FALSE)</f>
        <v>#N/A</v>
      </c>
      <c r="H19" s="16"/>
      <c r="I19" s="16"/>
      <c r="J19" s="42"/>
    </row>
    <row r="20" spans="1:10" x14ac:dyDescent="0.25">
      <c r="A20" s="7">
        <v>13</v>
      </c>
      <c r="B20" s="7"/>
      <c r="C20" s="19"/>
      <c r="D20" s="17"/>
      <c r="E20" s="7"/>
      <c r="F20" s="13" t="e">
        <f>VLOOKUP(Erfassungsblatt!E20,Produkte!A:B,2,FALSE)</f>
        <v>#N/A</v>
      </c>
      <c r="G20" s="12" t="e">
        <f>VLOOKUP(F20,Abfallcode!A:B,2,FALSE)</f>
        <v>#N/A</v>
      </c>
      <c r="H20" s="16"/>
      <c r="I20" s="16"/>
      <c r="J20" s="42"/>
    </row>
    <row r="21" spans="1:10" x14ac:dyDescent="0.25">
      <c r="A21" s="7">
        <v>14</v>
      </c>
      <c r="B21" s="7"/>
      <c r="C21" s="19"/>
      <c r="D21" s="17"/>
      <c r="E21" s="7"/>
      <c r="F21" s="13" t="e">
        <f>VLOOKUP(Erfassungsblatt!E21,Produkte!A:B,2,FALSE)</f>
        <v>#N/A</v>
      </c>
      <c r="G21" s="12" t="e">
        <f>VLOOKUP(F21,Abfallcode!A:B,2,FALSE)</f>
        <v>#N/A</v>
      </c>
      <c r="H21" s="16"/>
      <c r="I21" s="16"/>
      <c r="J21" s="42"/>
    </row>
    <row r="22" spans="1:10" x14ac:dyDescent="0.25">
      <c r="A22" s="7">
        <v>15</v>
      </c>
      <c r="B22" s="7"/>
      <c r="C22" s="19"/>
      <c r="D22" s="17"/>
      <c r="E22" s="7"/>
      <c r="F22" s="13" t="e">
        <f>VLOOKUP(Erfassungsblatt!E22,Produkte!A:B,2,FALSE)</f>
        <v>#N/A</v>
      </c>
      <c r="G22" s="12" t="e">
        <f>VLOOKUP(F22,Abfallcode!A:B,2,FALSE)</f>
        <v>#N/A</v>
      </c>
      <c r="H22" s="16"/>
      <c r="I22" s="16"/>
      <c r="J22" s="42"/>
    </row>
    <row r="23" spans="1:10" x14ac:dyDescent="0.25">
      <c r="A23" s="7">
        <v>16</v>
      </c>
      <c r="B23" s="7"/>
      <c r="C23" s="19"/>
      <c r="D23" s="17"/>
      <c r="E23" s="7"/>
      <c r="F23" s="13" t="e">
        <f>VLOOKUP(Erfassungsblatt!E23,Produkte!A:B,2,FALSE)</f>
        <v>#N/A</v>
      </c>
      <c r="G23" s="12" t="e">
        <f>VLOOKUP(F23,Abfallcode!A:B,2,FALSE)</f>
        <v>#N/A</v>
      </c>
      <c r="H23" s="16"/>
      <c r="I23" s="16"/>
      <c r="J23" s="42"/>
    </row>
    <row r="24" spans="1:10" x14ac:dyDescent="0.25">
      <c r="A24" s="7">
        <v>17</v>
      </c>
      <c r="B24" s="7"/>
      <c r="C24" s="19"/>
      <c r="D24" s="17"/>
      <c r="E24" s="7"/>
      <c r="F24" s="13" t="e">
        <f>VLOOKUP(Erfassungsblatt!E24,Produkte!A:B,2,FALSE)</f>
        <v>#N/A</v>
      </c>
      <c r="G24" s="12" t="e">
        <f>VLOOKUP(F24,Abfallcode!A:B,2,FALSE)</f>
        <v>#N/A</v>
      </c>
      <c r="H24" s="16"/>
      <c r="I24" s="16"/>
      <c r="J24" s="42"/>
    </row>
    <row r="25" spans="1:10" x14ac:dyDescent="0.25">
      <c r="A25" s="7">
        <v>18</v>
      </c>
      <c r="B25" s="7"/>
      <c r="C25" s="19"/>
      <c r="D25" s="17"/>
      <c r="E25" s="7"/>
      <c r="F25" s="13" t="e">
        <f>VLOOKUP(Erfassungsblatt!E25,Produkte!A:B,2,FALSE)</f>
        <v>#N/A</v>
      </c>
      <c r="G25" s="12" t="e">
        <f>VLOOKUP(F25,Abfallcode!A:B,2,FALSE)</f>
        <v>#N/A</v>
      </c>
      <c r="H25" s="16"/>
      <c r="I25" s="16"/>
      <c r="J25" s="42"/>
    </row>
    <row r="26" spans="1:10" x14ac:dyDescent="0.25">
      <c r="A26" s="7">
        <v>19</v>
      </c>
      <c r="B26" s="7"/>
      <c r="C26" s="19"/>
      <c r="D26" s="17"/>
      <c r="E26" s="7"/>
      <c r="F26" s="13" t="e">
        <f>VLOOKUP(Erfassungsblatt!E26,Produkte!A:B,2,FALSE)</f>
        <v>#N/A</v>
      </c>
      <c r="G26" s="12" t="e">
        <f>VLOOKUP(F26,Abfallcode!A:B,2,FALSE)</f>
        <v>#N/A</v>
      </c>
      <c r="H26" s="16"/>
      <c r="I26" s="16"/>
      <c r="J26" s="42"/>
    </row>
    <row r="27" spans="1:10" x14ac:dyDescent="0.25">
      <c r="A27" s="7">
        <v>20</v>
      </c>
      <c r="B27" s="7"/>
      <c r="C27" s="19"/>
      <c r="D27" s="17"/>
      <c r="E27" s="7"/>
      <c r="F27" s="13" t="e">
        <f>VLOOKUP(Erfassungsblatt!E27,Produkte!A:B,2,FALSE)</f>
        <v>#N/A</v>
      </c>
      <c r="G27" s="12" t="e">
        <f>VLOOKUP(F27,Abfallcode!A:B,2,FALSE)</f>
        <v>#N/A</v>
      </c>
      <c r="H27" s="16"/>
      <c r="I27" s="16"/>
      <c r="J27" s="42"/>
    </row>
    <row r="28" spans="1:10" x14ac:dyDescent="0.25">
      <c r="A28" s="7">
        <v>21</v>
      </c>
      <c r="B28" s="7"/>
      <c r="C28" s="19"/>
      <c r="D28" s="17"/>
      <c r="E28" s="7"/>
      <c r="F28" s="13" t="e">
        <f>VLOOKUP(Erfassungsblatt!E28,Produkte!A:B,2,FALSE)</f>
        <v>#N/A</v>
      </c>
      <c r="G28" s="12" t="e">
        <f>VLOOKUP(F28,Abfallcode!A:B,2,FALSE)</f>
        <v>#N/A</v>
      </c>
      <c r="H28" s="16"/>
      <c r="I28" s="16"/>
      <c r="J28" s="42"/>
    </row>
    <row r="29" spans="1:10" x14ac:dyDescent="0.25">
      <c r="A29" s="7">
        <v>22</v>
      </c>
      <c r="B29" s="7"/>
      <c r="C29" s="19"/>
      <c r="D29" s="17"/>
      <c r="E29" s="7"/>
      <c r="F29" s="13" t="e">
        <f>VLOOKUP(Erfassungsblatt!E29,Produkte!A:B,2,FALSE)</f>
        <v>#N/A</v>
      </c>
      <c r="G29" s="12" t="e">
        <f>VLOOKUP(F29,Abfallcode!A:B,2,FALSE)</f>
        <v>#N/A</v>
      </c>
      <c r="H29" s="16"/>
      <c r="I29" s="16"/>
      <c r="J29" s="42"/>
    </row>
    <row r="30" spans="1:10" x14ac:dyDescent="0.25">
      <c r="A30" s="7">
        <v>23</v>
      </c>
      <c r="B30" s="7"/>
      <c r="C30" s="19"/>
      <c r="D30" s="17"/>
      <c r="E30" s="7"/>
      <c r="F30" s="13" t="e">
        <f>VLOOKUP(Erfassungsblatt!E30,Produkte!A:B,2,FALSE)</f>
        <v>#N/A</v>
      </c>
      <c r="G30" s="12" t="e">
        <f>VLOOKUP(F30,Abfallcode!A:B,2,FALSE)</f>
        <v>#N/A</v>
      </c>
      <c r="H30" s="16"/>
      <c r="I30" s="16"/>
      <c r="J30" s="42"/>
    </row>
    <row r="31" spans="1:10" x14ac:dyDescent="0.25">
      <c r="A31" s="7">
        <v>24</v>
      </c>
      <c r="B31" s="7"/>
      <c r="C31" s="19"/>
      <c r="D31" s="17"/>
      <c r="E31" s="7"/>
      <c r="F31" s="13" t="e">
        <f>VLOOKUP(Erfassungsblatt!E31,Produkte!A:B,2,FALSE)</f>
        <v>#N/A</v>
      </c>
      <c r="G31" s="12" t="e">
        <f>VLOOKUP(F31,Abfallcode!A:B,2,FALSE)</f>
        <v>#N/A</v>
      </c>
      <c r="H31" s="16"/>
      <c r="I31" s="16"/>
      <c r="J31" s="42"/>
    </row>
    <row r="32" spans="1:10" x14ac:dyDescent="0.25">
      <c r="A32" s="7">
        <v>25</v>
      </c>
      <c r="B32" s="7"/>
      <c r="C32" s="19"/>
      <c r="D32" s="17"/>
      <c r="E32" s="7"/>
      <c r="F32" s="13" t="e">
        <f>VLOOKUP(Erfassungsblatt!E32,Produkte!A:B,2,FALSE)</f>
        <v>#N/A</v>
      </c>
      <c r="G32" s="12" t="e">
        <f>VLOOKUP(F32,Abfallcode!A:B,2,FALSE)</f>
        <v>#N/A</v>
      </c>
      <c r="H32" s="16"/>
      <c r="I32" s="16"/>
      <c r="J32" s="42"/>
    </row>
    <row r="33" spans="1:10" x14ac:dyDescent="0.25">
      <c r="A33" s="7">
        <v>26</v>
      </c>
      <c r="B33" s="7"/>
      <c r="C33" s="19"/>
      <c r="D33" s="17"/>
      <c r="E33" s="7"/>
      <c r="F33" s="13" t="e">
        <f>VLOOKUP(Erfassungsblatt!E33,Produkte!A:B,2,FALSE)</f>
        <v>#N/A</v>
      </c>
      <c r="G33" s="12" t="e">
        <f>VLOOKUP(F33,Abfallcode!A:B,2,FALSE)</f>
        <v>#N/A</v>
      </c>
      <c r="H33" s="16"/>
      <c r="I33" s="16"/>
      <c r="J33" s="42"/>
    </row>
    <row r="34" spans="1:10" x14ac:dyDescent="0.25">
      <c r="A34" s="7">
        <v>27</v>
      </c>
      <c r="B34" s="7"/>
      <c r="C34" s="19"/>
      <c r="D34" s="17"/>
      <c r="E34" s="7"/>
      <c r="F34" s="13" t="e">
        <f>VLOOKUP(Erfassungsblatt!E34,Produkte!A:B,2,FALSE)</f>
        <v>#N/A</v>
      </c>
      <c r="G34" s="12" t="e">
        <f>VLOOKUP(F34,Abfallcode!A:B,2,FALSE)</f>
        <v>#N/A</v>
      </c>
      <c r="H34" s="16"/>
      <c r="I34" s="16"/>
      <c r="J34" s="42"/>
    </row>
    <row r="35" spans="1:10" x14ac:dyDescent="0.25">
      <c r="A35" s="7">
        <v>28</v>
      </c>
      <c r="B35" s="7"/>
      <c r="C35" s="19"/>
      <c r="D35" s="17"/>
      <c r="E35" s="7"/>
      <c r="F35" s="13" t="e">
        <f>VLOOKUP(Erfassungsblatt!E35,Produkte!A:B,2,FALSE)</f>
        <v>#N/A</v>
      </c>
      <c r="G35" s="12" t="e">
        <f>VLOOKUP(F35,Abfallcode!A:B,2,FALSE)</f>
        <v>#N/A</v>
      </c>
      <c r="H35" s="16"/>
      <c r="I35" s="16"/>
      <c r="J35" s="42"/>
    </row>
    <row r="36" spans="1:10" x14ac:dyDescent="0.25">
      <c r="A36" s="7">
        <v>29</v>
      </c>
      <c r="B36" s="7"/>
      <c r="C36" s="19"/>
      <c r="D36" s="17"/>
      <c r="E36" s="7"/>
      <c r="F36" s="13" t="e">
        <f>VLOOKUP(Erfassungsblatt!E36,Produkte!A:B,2,FALSE)</f>
        <v>#N/A</v>
      </c>
      <c r="G36" s="12" t="e">
        <f>VLOOKUP(F36,Abfallcode!A:B,2,FALSE)</f>
        <v>#N/A</v>
      </c>
      <c r="H36" s="16"/>
      <c r="I36" s="16"/>
      <c r="J36" s="42"/>
    </row>
    <row r="37" spans="1:10" x14ac:dyDescent="0.25">
      <c r="A37" s="7">
        <v>30</v>
      </c>
      <c r="B37" s="7"/>
      <c r="C37" s="19"/>
      <c r="D37" s="17"/>
      <c r="E37" s="7"/>
      <c r="F37" s="13" t="e">
        <f>VLOOKUP(Erfassungsblatt!E37,Produkte!A:B,2,FALSE)</f>
        <v>#N/A</v>
      </c>
      <c r="G37" s="12" t="e">
        <f>VLOOKUP(F37,Abfallcode!A:B,2,FALSE)</f>
        <v>#N/A</v>
      </c>
      <c r="H37" s="16"/>
      <c r="I37" s="16"/>
      <c r="J37" s="42"/>
    </row>
    <row r="38" spans="1:10" x14ac:dyDescent="0.25">
      <c r="A38" s="7">
        <v>31</v>
      </c>
      <c r="B38" s="7"/>
      <c r="C38" s="19"/>
      <c r="D38" s="17"/>
      <c r="E38" s="7"/>
      <c r="F38" s="13" t="e">
        <f>VLOOKUP(Erfassungsblatt!E38,Produkte!A:B,2,FALSE)</f>
        <v>#N/A</v>
      </c>
      <c r="G38" s="12" t="e">
        <f>VLOOKUP(F38,Abfallcode!A:B,2,FALSE)</f>
        <v>#N/A</v>
      </c>
      <c r="H38" s="16"/>
      <c r="I38" s="16"/>
      <c r="J38" s="42"/>
    </row>
    <row r="39" spans="1:10" x14ac:dyDescent="0.25">
      <c r="A39" s="7">
        <v>32</v>
      </c>
      <c r="B39" s="7"/>
      <c r="C39" s="19"/>
      <c r="D39" s="17"/>
      <c r="E39" s="7"/>
      <c r="F39" s="13" t="e">
        <f>VLOOKUP(Erfassungsblatt!E39,Produkte!A:B,2,FALSE)</f>
        <v>#N/A</v>
      </c>
      <c r="G39" s="12" t="e">
        <f>VLOOKUP(F39,Abfallcode!A:B,2,FALSE)</f>
        <v>#N/A</v>
      </c>
      <c r="H39" s="16"/>
      <c r="I39" s="16"/>
      <c r="J39" s="42"/>
    </row>
    <row r="40" spans="1:10" x14ac:dyDescent="0.25">
      <c r="A40" s="7">
        <v>33</v>
      </c>
      <c r="B40" s="7"/>
      <c r="C40" s="19"/>
      <c r="D40" s="17"/>
      <c r="E40" s="7"/>
      <c r="F40" s="13" t="e">
        <f>VLOOKUP(Erfassungsblatt!E40,Produkte!A:B,2,FALSE)</f>
        <v>#N/A</v>
      </c>
      <c r="G40" s="12" t="e">
        <f>VLOOKUP(F40,Abfallcode!A:B,2,FALSE)</f>
        <v>#N/A</v>
      </c>
      <c r="H40" s="16"/>
      <c r="I40" s="16"/>
      <c r="J40" s="42"/>
    </row>
    <row r="41" spans="1:10" x14ac:dyDescent="0.25">
      <c r="A41" s="7">
        <v>34</v>
      </c>
      <c r="B41" s="7"/>
      <c r="C41" s="19"/>
      <c r="D41" s="17"/>
      <c r="E41" s="7"/>
      <c r="F41" s="13" t="e">
        <f>VLOOKUP(Erfassungsblatt!E41,Produkte!A:B,2,FALSE)</f>
        <v>#N/A</v>
      </c>
      <c r="G41" s="12" t="e">
        <f>VLOOKUP(F41,Abfallcode!A:B,2,FALSE)</f>
        <v>#N/A</v>
      </c>
      <c r="H41" s="16"/>
      <c r="I41" s="16"/>
      <c r="J41" s="42"/>
    </row>
    <row r="42" spans="1:10" x14ac:dyDescent="0.25">
      <c r="A42" s="7">
        <v>35</v>
      </c>
      <c r="B42" s="7"/>
      <c r="C42" s="19"/>
      <c r="D42" s="17"/>
      <c r="E42" s="7"/>
      <c r="F42" s="13" t="e">
        <f>VLOOKUP(Erfassungsblatt!E42,Produkte!A:B,2,FALSE)</f>
        <v>#N/A</v>
      </c>
      <c r="G42" s="12" t="e">
        <f>VLOOKUP(F42,Abfallcode!A:B,2,FALSE)</f>
        <v>#N/A</v>
      </c>
      <c r="H42" s="16"/>
      <c r="I42" s="16"/>
      <c r="J42" s="42"/>
    </row>
    <row r="43" spans="1:10" x14ac:dyDescent="0.25">
      <c r="A43" s="7">
        <v>36</v>
      </c>
      <c r="B43" s="7"/>
      <c r="C43" s="19"/>
      <c r="D43" s="17"/>
      <c r="E43" s="7"/>
      <c r="F43" s="13" t="e">
        <f>VLOOKUP(Erfassungsblatt!E43,Produkte!A:B,2,FALSE)</f>
        <v>#N/A</v>
      </c>
      <c r="G43" s="12" t="e">
        <f>VLOOKUP(F43,Abfallcode!A:B,2,FALSE)</f>
        <v>#N/A</v>
      </c>
      <c r="H43" s="16"/>
      <c r="I43" s="16"/>
      <c r="J43" s="42"/>
    </row>
    <row r="44" spans="1:10" x14ac:dyDescent="0.25">
      <c r="A44" s="7">
        <v>37</v>
      </c>
      <c r="B44" s="7"/>
      <c r="C44" s="19"/>
      <c r="D44" s="17"/>
      <c r="E44" s="7"/>
      <c r="F44" s="13" t="e">
        <f>VLOOKUP(Erfassungsblatt!E44,Produkte!A:B,2,FALSE)</f>
        <v>#N/A</v>
      </c>
      <c r="G44" s="12" t="e">
        <f>VLOOKUP(F44,Abfallcode!A:B,2,FALSE)</f>
        <v>#N/A</v>
      </c>
      <c r="H44" s="16"/>
      <c r="I44" s="16"/>
      <c r="J44" s="42"/>
    </row>
    <row r="45" spans="1:10" x14ac:dyDescent="0.25">
      <c r="A45" s="7">
        <v>38</v>
      </c>
      <c r="B45" s="7"/>
      <c r="C45" s="19"/>
      <c r="D45" s="17"/>
      <c r="E45" s="7"/>
      <c r="F45" s="13" t="e">
        <f>VLOOKUP(Erfassungsblatt!E45,Produkte!A:B,2,FALSE)</f>
        <v>#N/A</v>
      </c>
      <c r="G45" s="12" t="e">
        <f>VLOOKUP(F45,Abfallcode!A:B,2,FALSE)</f>
        <v>#N/A</v>
      </c>
      <c r="H45" s="16"/>
      <c r="I45" s="16"/>
      <c r="J45" s="42"/>
    </row>
    <row r="46" spans="1:10" x14ac:dyDescent="0.25">
      <c r="A46" s="7">
        <v>39</v>
      </c>
      <c r="B46" s="7"/>
      <c r="C46" s="19"/>
      <c r="D46" s="17"/>
      <c r="E46" s="7"/>
      <c r="F46" s="13" t="e">
        <f>VLOOKUP(Erfassungsblatt!E46,Produkte!A:B,2,FALSE)</f>
        <v>#N/A</v>
      </c>
      <c r="G46" s="12" t="e">
        <f>VLOOKUP(F46,Abfallcode!A:B,2,FALSE)</f>
        <v>#N/A</v>
      </c>
      <c r="H46" s="16"/>
      <c r="I46" s="16"/>
      <c r="J46" s="42"/>
    </row>
    <row r="47" spans="1:10" x14ac:dyDescent="0.25">
      <c r="A47" s="7">
        <v>40</v>
      </c>
      <c r="B47" s="7"/>
      <c r="C47" s="19"/>
      <c r="D47" s="17"/>
      <c r="E47" s="7"/>
      <c r="F47" s="13" t="e">
        <f>VLOOKUP(Erfassungsblatt!E47,Produkte!A:B,2,FALSE)</f>
        <v>#N/A</v>
      </c>
      <c r="G47" s="12" t="e">
        <f>VLOOKUP(F47,Abfallcode!A:B,2,FALSE)</f>
        <v>#N/A</v>
      </c>
      <c r="H47" s="16"/>
      <c r="I47" s="16"/>
      <c r="J47" s="42"/>
    </row>
    <row r="48" spans="1:10" x14ac:dyDescent="0.25">
      <c r="A48" s="7">
        <v>41</v>
      </c>
      <c r="B48" s="7"/>
      <c r="C48" s="19"/>
      <c r="D48" s="17"/>
      <c r="E48" s="7"/>
      <c r="F48" s="13" t="e">
        <f>VLOOKUP(Erfassungsblatt!E48,Produkte!A:B,2,FALSE)</f>
        <v>#N/A</v>
      </c>
      <c r="G48" s="12" t="e">
        <f>VLOOKUP(F48,Abfallcode!A:B,2,FALSE)</f>
        <v>#N/A</v>
      </c>
      <c r="H48" s="16"/>
      <c r="I48" s="16"/>
      <c r="J48" s="42"/>
    </row>
    <row r="49" spans="1:10" x14ac:dyDescent="0.25">
      <c r="A49" s="7">
        <v>42</v>
      </c>
      <c r="B49" s="7"/>
      <c r="C49" s="19"/>
      <c r="D49" s="17"/>
      <c r="E49" s="7"/>
      <c r="F49" s="13" t="e">
        <f>VLOOKUP(Erfassungsblatt!E49,Produkte!A:B,2,FALSE)</f>
        <v>#N/A</v>
      </c>
      <c r="G49" s="12" t="e">
        <f>VLOOKUP(F49,Abfallcode!A:B,2,FALSE)</f>
        <v>#N/A</v>
      </c>
      <c r="H49" s="16"/>
      <c r="I49" s="16"/>
      <c r="J49" s="42"/>
    </row>
    <row r="50" spans="1:10" x14ac:dyDescent="0.25">
      <c r="A50" s="7">
        <v>43</v>
      </c>
      <c r="B50" s="7"/>
      <c r="C50" s="19"/>
      <c r="D50" s="17"/>
      <c r="E50" s="7"/>
      <c r="F50" s="13" t="e">
        <f>VLOOKUP(Erfassungsblatt!E50,Produkte!A:B,2,FALSE)</f>
        <v>#N/A</v>
      </c>
      <c r="G50" s="12" t="e">
        <f>VLOOKUP(F50,Abfallcode!A:B,2,FALSE)</f>
        <v>#N/A</v>
      </c>
      <c r="H50" s="16"/>
      <c r="I50" s="16"/>
      <c r="J50" s="42"/>
    </row>
    <row r="51" spans="1:10" x14ac:dyDescent="0.25">
      <c r="A51" s="7">
        <v>44</v>
      </c>
      <c r="B51" s="7"/>
      <c r="C51" s="19"/>
      <c r="D51" s="17"/>
      <c r="E51" s="7"/>
      <c r="F51" s="13" t="e">
        <f>VLOOKUP(Erfassungsblatt!E51,Produkte!A:B,2,FALSE)</f>
        <v>#N/A</v>
      </c>
      <c r="G51" s="12" t="e">
        <f>VLOOKUP(F51,Abfallcode!A:B,2,FALSE)</f>
        <v>#N/A</v>
      </c>
      <c r="H51" s="16"/>
      <c r="I51" s="16"/>
      <c r="J51" s="42"/>
    </row>
    <row r="52" spans="1:10" x14ac:dyDescent="0.25">
      <c r="A52" s="7">
        <v>45</v>
      </c>
      <c r="B52" s="7"/>
      <c r="C52" s="19"/>
      <c r="D52" s="17"/>
      <c r="E52" s="7"/>
      <c r="F52" s="13" t="e">
        <f>VLOOKUP(Erfassungsblatt!E52,Produkte!A:B,2,FALSE)</f>
        <v>#N/A</v>
      </c>
      <c r="G52" s="12" t="e">
        <f>VLOOKUP(F52,Abfallcode!A:B,2,FALSE)</f>
        <v>#N/A</v>
      </c>
      <c r="H52" s="16"/>
      <c r="I52" s="16"/>
      <c r="J52" s="42"/>
    </row>
    <row r="53" spans="1:10" x14ac:dyDescent="0.25">
      <c r="A53" s="7">
        <v>46</v>
      </c>
      <c r="B53" s="7"/>
      <c r="C53" s="19"/>
      <c r="D53" s="17"/>
      <c r="E53" s="7"/>
      <c r="F53" s="13" t="e">
        <f>VLOOKUP(Erfassungsblatt!E53,Produkte!A:B,2,FALSE)</f>
        <v>#N/A</v>
      </c>
      <c r="G53" s="12" t="e">
        <f>VLOOKUP(F53,Abfallcode!A:B,2,FALSE)</f>
        <v>#N/A</v>
      </c>
      <c r="H53" s="16"/>
      <c r="I53" s="16"/>
      <c r="J53" s="42"/>
    </row>
    <row r="54" spans="1:10" x14ac:dyDescent="0.25">
      <c r="A54" s="7">
        <v>47</v>
      </c>
      <c r="B54" s="7"/>
      <c r="C54" s="19"/>
      <c r="D54" s="17"/>
      <c r="E54" s="7"/>
      <c r="F54" s="13" t="e">
        <f>VLOOKUP(Erfassungsblatt!E54,Produkte!A:B,2,FALSE)</f>
        <v>#N/A</v>
      </c>
      <c r="G54" s="12" t="e">
        <f>VLOOKUP(F54,Abfallcode!A:B,2,FALSE)</f>
        <v>#N/A</v>
      </c>
      <c r="H54" s="16"/>
      <c r="I54" s="16"/>
      <c r="J54" s="42"/>
    </row>
    <row r="55" spans="1:10" x14ac:dyDescent="0.25">
      <c r="A55" s="7">
        <v>48</v>
      </c>
      <c r="B55" s="7"/>
      <c r="C55" s="19"/>
      <c r="D55" s="17"/>
      <c r="E55" s="7"/>
      <c r="F55" s="13" t="e">
        <f>VLOOKUP(Erfassungsblatt!E55,Produkte!A:B,2,FALSE)</f>
        <v>#N/A</v>
      </c>
      <c r="G55" s="12" t="e">
        <f>VLOOKUP(F55,Abfallcode!A:B,2,FALSE)</f>
        <v>#N/A</v>
      </c>
      <c r="H55" s="16"/>
      <c r="I55" s="16"/>
      <c r="J55" s="42"/>
    </row>
    <row r="56" spans="1:10" x14ac:dyDescent="0.25">
      <c r="A56" s="7">
        <v>49</v>
      </c>
      <c r="B56" s="7"/>
      <c r="C56" s="19"/>
      <c r="D56" s="17"/>
      <c r="E56" s="7"/>
      <c r="F56" s="13" t="e">
        <f>VLOOKUP(Erfassungsblatt!E56,Produkte!A:B,2,FALSE)</f>
        <v>#N/A</v>
      </c>
      <c r="G56" s="12" t="e">
        <f>VLOOKUP(F56,Abfallcode!A:B,2,FALSE)</f>
        <v>#N/A</v>
      </c>
      <c r="H56" s="16"/>
      <c r="I56" s="16"/>
      <c r="J56" s="42"/>
    </row>
    <row r="57" spans="1:10" x14ac:dyDescent="0.25">
      <c r="A57" s="7">
        <v>50</v>
      </c>
      <c r="B57" s="7"/>
      <c r="C57" s="19"/>
      <c r="D57" s="17"/>
      <c r="E57" s="7"/>
      <c r="F57" s="13" t="e">
        <f>VLOOKUP(Erfassungsblatt!E57,Produkte!A:B,2,FALSE)</f>
        <v>#N/A</v>
      </c>
      <c r="G57" s="12" t="e">
        <f>VLOOKUP(F57,Abfallcode!A:B,2,FALSE)</f>
        <v>#N/A</v>
      </c>
      <c r="H57" s="16"/>
      <c r="I57" s="16"/>
      <c r="J57" s="43"/>
    </row>
    <row r="66" spans="1:1" x14ac:dyDescent="0.25">
      <c r="A66" s="4" t="s">
        <v>232</v>
      </c>
    </row>
    <row r="67" spans="1:1" x14ac:dyDescent="0.25">
      <c r="A67" s="5" t="s">
        <v>233</v>
      </c>
    </row>
    <row r="68" spans="1:1" x14ac:dyDescent="0.25">
      <c r="A68" s="4" t="s">
        <v>461</v>
      </c>
    </row>
    <row r="69" spans="1:1" x14ac:dyDescent="0.25">
      <c r="A69" s="6" t="s">
        <v>458</v>
      </c>
    </row>
  </sheetData>
  <sheetProtection password="9DA1" sheet="1" objects="1" scenarios="1" autoFilter="0"/>
  <mergeCells count="5">
    <mergeCell ref="A1:C1"/>
    <mergeCell ref="A4:D4"/>
    <mergeCell ref="A3:D3"/>
    <mergeCell ref="A5:D5"/>
    <mergeCell ref="J8:J57"/>
  </mergeCells>
  <conditionalFormatting sqref="G8:H57">
    <cfRule type="containsErrors" dxfId="37" priority="25" stopIfTrue="1">
      <formula>ISERROR(G8)</formula>
    </cfRule>
  </conditionalFormatting>
  <conditionalFormatting sqref="A4:A5">
    <cfRule type="containsErrors" dxfId="36" priority="18" stopIfTrue="1">
      <formula>ISERROR(A4)</formula>
    </cfRule>
  </conditionalFormatting>
  <conditionalFormatting sqref="I8:I57">
    <cfRule type="containsErrors" dxfId="35" priority="17" stopIfTrue="1">
      <formula>ISERROR(I8)</formula>
    </cfRule>
  </conditionalFormatting>
  <conditionalFormatting sqref="F8:F57">
    <cfRule type="containsErrors" dxfId="34" priority="16" stopIfTrue="1">
      <formula>ISERROR(F8)</formula>
    </cfRule>
  </conditionalFormatting>
  <conditionalFormatting sqref="F9:F57">
    <cfRule type="containsErrors" dxfId="33" priority="15" stopIfTrue="1">
      <formula>ISERROR(F9)</formula>
    </cfRule>
  </conditionalFormatting>
  <conditionalFormatting sqref="G9:G57">
    <cfRule type="containsErrors" dxfId="32" priority="14" stopIfTrue="1">
      <formula>ISERROR(G9)</formula>
    </cfRule>
  </conditionalFormatting>
  <conditionalFormatting sqref="H9:H57">
    <cfRule type="containsErrors" dxfId="31" priority="13" stopIfTrue="1">
      <formula>ISERROR(H9)</formula>
    </cfRule>
  </conditionalFormatting>
  <conditionalFormatting sqref="G28:H28 H29:H31">
    <cfRule type="containsErrors" dxfId="30" priority="12" stopIfTrue="1">
      <formula>ISERROR(G28)</formula>
    </cfRule>
  </conditionalFormatting>
  <conditionalFormatting sqref="F28">
    <cfRule type="containsErrors" dxfId="29" priority="11" stopIfTrue="1">
      <formula>ISERROR(F28)</formula>
    </cfRule>
  </conditionalFormatting>
  <conditionalFormatting sqref="F29:F31">
    <cfRule type="containsErrors" dxfId="28" priority="10" stopIfTrue="1">
      <formula>ISERROR(F29)</formula>
    </cfRule>
  </conditionalFormatting>
  <conditionalFormatting sqref="G29:G31">
    <cfRule type="containsErrors" dxfId="27" priority="9" stopIfTrue="1">
      <formula>ISERROR(G29)</formula>
    </cfRule>
  </conditionalFormatting>
  <conditionalFormatting sqref="H29:H31">
    <cfRule type="containsErrors" dxfId="26" priority="8" stopIfTrue="1">
      <formula>ISERROR(H29)</formula>
    </cfRule>
  </conditionalFormatting>
  <conditionalFormatting sqref="G8:H57">
    <cfRule type="containsErrors" dxfId="25" priority="7" stopIfTrue="1">
      <formula>ISERROR(G8)</formula>
    </cfRule>
  </conditionalFormatting>
  <conditionalFormatting sqref="F8:F57">
    <cfRule type="containsErrors" dxfId="24" priority="6" stopIfTrue="1">
      <formula>ISERROR(F8)</formula>
    </cfRule>
  </conditionalFormatting>
  <conditionalFormatting sqref="I8:I57">
    <cfRule type="containsErrors" dxfId="23" priority="5" stopIfTrue="1">
      <formula>ISERROR(I8)</formula>
    </cfRule>
  </conditionalFormatting>
  <conditionalFormatting sqref="I9:I57">
    <cfRule type="containsErrors" dxfId="22" priority="4" stopIfTrue="1">
      <formula>ISERROR(I9)</formula>
    </cfRule>
  </conditionalFormatting>
  <conditionalFormatting sqref="I28:I31">
    <cfRule type="containsErrors" dxfId="21" priority="3" stopIfTrue="1">
      <formula>ISERROR(I28)</formula>
    </cfRule>
  </conditionalFormatting>
  <conditionalFormatting sqref="I29:I31">
    <cfRule type="containsErrors" dxfId="20" priority="2" stopIfTrue="1">
      <formula>ISERROR(I29)</formula>
    </cfRule>
  </conditionalFormatting>
  <conditionalFormatting sqref="I8:I57">
    <cfRule type="containsErrors" dxfId="19" priority="1" stopIfTrue="1">
      <formula>ISERROR(I8)</formula>
    </cfRule>
  </conditionalFormatting>
  <dataValidations count="3">
    <dataValidation allowBlank="1" showInputMessage="1" showErrorMessage="1" errorTitle="Warnung" error="Nicht Erlaubter Eintrag" sqref="F8:F57" xr:uid="{00000000-0002-0000-0000-000000000000}"/>
    <dataValidation type="list" allowBlank="1" showInputMessage="1" showErrorMessage="1" sqref="E8:E57" xr:uid="{00000000-0002-0000-0000-000001000000}">
      <formula1>Produkt</formula1>
    </dataValidation>
    <dataValidation type="list" allowBlank="1" showInputMessage="1" showErrorMessage="1" sqref="D1" xr:uid="{00000000-0002-0000-0000-000002000000}">
      <formula1>BSPnn</formula1>
    </dataValidation>
  </dataValidations>
  <pageMargins left="0.70866141732283472" right="0.70866141732283472" top="0.78740157480314965" bottom="0.78740157480314965" header="0.31496062992125984" footer="0.31496062992125984"/>
  <pageSetup paperSize="9" scale="56" orientation="landscape" r:id="rId1"/>
  <headerFooter>
    <oddHeader>&amp;L&amp;24Übergabeprotokoll ausgeschiedene Hardware&amp;R&amp;G</oddHead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00000000-0002-0000-0000-000003000000}">
          <x14:formula1>
            <xm:f>BSPs!$A$2:$A$35</xm:f>
          </x14:formula1>
          <xm:sqref>D1</xm:sqref>
        </x14:dataValidation>
        <x14:dataValidation type="list" allowBlank="1" showInputMessage="1" showErrorMessage="1" xr:uid="{00000000-0002-0000-0000-000004000000}">
          <x14:formula1>
            <xm:f>Produkte!$A$2:$A$29</xm:f>
          </x14:formula1>
          <xm:sqref>E8:E57</xm:sqref>
        </x14:dataValidation>
        <x14:dataValidation type="list" allowBlank="1" showInputMessage="1" showErrorMessage="1" xr:uid="{00000000-0002-0000-0000-000005000000}">
          <x14:formula1>
            <xm:f>Produkte!A$32:A$33</xm:f>
          </x14:formula1>
          <xm:sqref>H8:H57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16"/>
  <sheetViews>
    <sheetView workbookViewId="0">
      <selection activeCell="D20" sqref="D20"/>
    </sheetView>
  </sheetViews>
  <sheetFormatPr defaultColWidth="11.453125" defaultRowHeight="12.5" x14ac:dyDescent="0.25"/>
  <cols>
    <col min="1" max="1" width="50.54296875" bestFit="1" customWidth="1"/>
  </cols>
  <sheetData>
    <row r="1" spans="1:2" x14ac:dyDescent="0.25">
      <c r="A1" t="s">
        <v>3</v>
      </c>
      <c r="B1" t="s">
        <v>4</v>
      </c>
    </row>
    <row r="2" spans="1:2" x14ac:dyDescent="0.25">
      <c r="A2" t="s">
        <v>6</v>
      </c>
      <c r="B2">
        <v>35212</v>
      </c>
    </row>
    <row r="3" spans="1:2" x14ac:dyDescent="0.25">
      <c r="A3" t="s">
        <v>239</v>
      </c>
      <c r="B3">
        <v>35221</v>
      </c>
    </row>
    <row r="4" spans="1:2" x14ac:dyDescent="0.25">
      <c r="A4" t="s">
        <v>7</v>
      </c>
      <c r="B4">
        <v>35230</v>
      </c>
    </row>
    <row r="5" spans="1:2" x14ac:dyDescent="0.25">
      <c r="A5" t="s">
        <v>8</v>
      </c>
      <c r="B5">
        <v>35230</v>
      </c>
    </row>
    <row r="6" spans="1:2" x14ac:dyDescent="0.25">
      <c r="A6" t="s">
        <v>9</v>
      </c>
      <c r="B6">
        <v>35230</v>
      </c>
    </row>
    <row r="7" spans="1:2" x14ac:dyDescent="0.25">
      <c r="A7" t="s">
        <v>240</v>
      </c>
      <c r="B7">
        <v>35230</v>
      </c>
    </row>
    <row r="8" spans="1:2" x14ac:dyDescent="0.25">
      <c r="A8" t="s">
        <v>10</v>
      </c>
      <c r="B8">
        <v>35231</v>
      </c>
    </row>
    <row r="9" spans="1:2" x14ac:dyDescent="0.25">
      <c r="A9" t="s">
        <v>11</v>
      </c>
      <c r="B9">
        <v>35231</v>
      </c>
    </row>
    <row r="10" spans="1:2" x14ac:dyDescent="0.25">
      <c r="A10" t="s">
        <v>12</v>
      </c>
      <c r="B10">
        <v>35231</v>
      </c>
    </row>
    <row r="11" spans="1:2" x14ac:dyDescent="0.25">
      <c r="A11" t="s">
        <v>13</v>
      </c>
      <c r="B11">
        <v>35231</v>
      </c>
    </row>
    <row r="12" spans="1:2" x14ac:dyDescent="0.25">
      <c r="A12" t="s">
        <v>14</v>
      </c>
      <c r="B12">
        <v>35231</v>
      </c>
    </row>
    <row r="13" spans="1:2" x14ac:dyDescent="0.25">
      <c r="A13" t="s">
        <v>264</v>
      </c>
      <c r="B13">
        <v>35231</v>
      </c>
    </row>
    <row r="14" spans="1:2" x14ac:dyDescent="0.25">
      <c r="A14" t="s">
        <v>236</v>
      </c>
      <c r="B14">
        <v>35231</v>
      </c>
    </row>
    <row r="15" spans="1:2" x14ac:dyDescent="0.25">
      <c r="A15" t="s">
        <v>237</v>
      </c>
      <c r="B15">
        <v>35231</v>
      </c>
    </row>
    <row r="16" spans="1:2" x14ac:dyDescent="0.25">
      <c r="A16" t="s">
        <v>238</v>
      </c>
      <c r="B16">
        <v>35231</v>
      </c>
    </row>
  </sheetData>
  <sortState xmlns:xlrd2="http://schemas.microsoft.com/office/spreadsheetml/2017/richdata2" ref="A2:B16">
    <sortCondition ref="B2:B16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35"/>
  <sheetViews>
    <sheetView workbookViewId="0">
      <selection activeCell="A27" sqref="A27"/>
    </sheetView>
  </sheetViews>
  <sheetFormatPr defaultColWidth="11.453125" defaultRowHeight="12.5" x14ac:dyDescent="0.25"/>
  <cols>
    <col min="1" max="1" width="13" bestFit="1" customWidth="1"/>
    <col min="2" max="2" width="15" bestFit="1" customWidth="1"/>
    <col min="3" max="3" width="15" customWidth="1"/>
    <col min="4" max="4" width="12" bestFit="1" customWidth="1"/>
    <col min="5" max="5" width="14" customWidth="1"/>
    <col min="6" max="6" width="9.81640625" customWidth="1"/>
    <col min="7" max="7" width="10.81640625" customWidth="1"/>
    <col min="8" max="8" width="20.1796875" customWidth="1"/>
    <col min="9" max="9" width="38.1796875" customWidth="1"/>
    <col min="10" max="10" width="55" customWidth="1"/>
    <col min="11" max="11" width="58.1796875" bestFit="1" customWidth="1"/>
  </cols>
  <sheetData>
    <row r="1" spans="1:12" x14ac:dyDescent="0.25">
      <c r="A1" t="s">
        <v>89</v>
      </c>
      <c r="B1" t="s">
        <v>90</v>
      </c>
      <c r="C1" t="s">
        <v>211</v>
      </c>
      <c r="D1" t="s">
        <v>15</v>
      </c>
      <c r="E1" t="s">
        <v>91</v>
      </c>
      <c r="F1" t="s">
        <v>92</v>
      </c>
      <c r="G1" t="s">
        <v>16</v>
      </c>
      <c r="H1" t="s">
        <v>93</v>
      </c>
      <c r="I1" t="s">
        <v>94</v>
      </c>
      <c r="J1" t="s">
        <v>210</v>
      </c>
      <c r="K1" t="s">
        <v>215</v>
      </c>
      <c r="L1" t="s">
        <v>279</v>
      </c>
    </row>
    <row r="2" spans="1:12" x14ac:dyDescent="0.25">
      <c r="A2" t="s">
        <v>26</v>
      </c>
      <c r="B2" t="s">
        <v>109</v>
      </c>
      <c r="C2" t="s">
        <v>212</v>
      </c>
      <c r="D2" t="s">
        <v>25</v>
      </c>
      <c r="E2" t="s">
        <v>110</v>
      </c>
      <c r="F2" t="s">
        <v>111</v>
      </c>
      <c r="G2" t="s">
        <v>27</v>
      </c>
      <c r="H2" t="s">
        <v>112</v>
      </c>
      <c r="I2" t="s">
        <v>113</v>
      </c>
      <c r="J2" t="str">
        <f t="shared" ref="J2:J35" si="0">CONCATENATE(C2," ",B2," ",A2," ; ",D2," ; ",E2," ; ",F2)</f>
        <v>Herr Johann Bamberger ; VIE SIE ; GEBAEUDE 60 ; 60.06.090</v>
      </c>
      <c r="K2" t="s">
        <v>216</v>
      </c>
      <c r="L2" t="str">
        <f>B2&amp;" "&amp;A2</f>
        <v>Johann Bamberger</v>
      </c>
    </row>
    <row r="3" spans="1:12" x14ac:dyDescent="0.25">
      <c r="A3" t="s">
        <v>28</v>
      </c>
      <c r="B3" t="s">
        <v>114</v>
      </c>
      <c r="C3" t="s">
        <v>212</v>
      </c>
      <c r="D3" t="s">
        <v>25</v>
      </c>
      <c r="E3" t="s">
        <v>265</v>
      </c>
      <c r="F3">
        <v>145</v>
      </c>
      <c r="G3" t="s">
        <v>29</v>
      </c>
      <c r="H3" t="s">
        <v>116</v>
      </c>
      <c r="I3" t="s">
        <v>117</v>
      </c>
      <c r="J3" t="str">
        <f t="shared" si="0"/>
        <v>Herr Peter Boska ; VIE SIE ; BAU22 (ohne Aufzug) ; 145</v>
      </c>
      <c r="K3" t="s">
        <v>216</v>
      </c>
      <c r="L3" t="str">
        <f t="shared" ref="L3:L35" si="1">B3&amp;" "&amp;A3</f>
        <v>Peter Boska</v>
      </c>
    </row>
    <row r="4" spans="1:12" x14ac:dyDescent="0.25">
      <c r="A4" t="s">
        <v>74</v>
      </c>
      <c r="B4" t="s">
        <v>189</v>
      </c>
      <c r="C4" t="s">
        <v>212</v>
      </c>
      <c r="D4" t="s">
        <v>190</v>
      </c>
      <c r="E4" t="s">
        <v>234</v>
      </c>
      <c r="F4">
        <v>2056</v>
      </c>
      <c r="G4" t="s">
        <v>75</v>
      </c>
      <c r="H4" t="s">
        <v>191</v>
      </c>
      <c r="I4" t="s">
        <v>192</v>
      </c>
      <c r="J4" t="str">
        <f t="shared" si="0"/>
        <v>Herr Clemens Engel ; INN NLI ; Bau 01, 2 OG ; 2056</v>
      </c>
      <c r="K4" t="s">
        <v>217</v>
      </c>
      <c r="L4" t="str">
        <f t="shared" si="1"/>
        <v>Clemens Engel</v>
      </c>
    </row>
    <row r="5" spans="1:12" x14ac:dyDescent="0.25">
      <c r="A5" t="s">
        <v>18</v>
      </c>
      <c r="B5" t="s">
        <v>95</v>
      </c>
      <c r="C5" t="s">
        <v>212</v>
      </c>
      <c r="D5" t="s">
        <v>17</v>
      </c>
      <c r="E5" t="s">
        <v>96</v>
      </c>
      <c r="F5" t="s">
        <v>97</v>
      </c>
      <c r="G5" t="s">
        <v>19</v>
      </c>
      <c r="H5" t="s">
        <v>98</v>
      </c>
      <c r="I5" t="s">
        <v>99</v>
      </c>
      <c r="J5" t="str">
        <f t="shared" si="0"/>
        <v>Herr Benjamin Fink ; WEZ EL ; BAU HP ; E0.05</v>
      </c>
      <c r="K5" t="s">
        <v>218</v>
      </c>
      <c r="L5" t="str">
        <f t="shared" si="1"/>
        <v>Benjamin Fink</v>
      </c>
    </row>
    <row r="6" spans="1:12" x14ac:dyDescent="0.25">
      <c r="A6" t="s">
        <v>30</v>
      </c>
      <c r="B6" t="s">
        <v>118</v>
      </c>
      <c r="C6" t="s">
        <v>212</v>
      </c>
      <c r="D6" t="s">
        <v>25</v>
      </c>
      <c r="E6" t="s">
        <v>115</v>
      </c>
      <c r="F6">
        <v>173</v>
      </c>
      <c r="G6" t="s">
        <v>31</v>
      </c>
      <c r="H6" t="s">
        <v>119</v>
      </c>
      <c r="I6" t="s">
        <v>120</v>
      </c>
      <c r="J6" t="str">
        <f t="shared" si="0"/>
        <v>Herr Michael Franz ; VIE SIE ; BAU22 ; 173</v>
      </c>
      <c r="K6" t="s">
        <v>216</v>
      </c>
      <c r="L6" t="str">
        <f t="shared" si="1"/>
        <v>Michael Franz</v>
      </c>
    </row>
    <row r="7" spans="1:12" x14ac:dyDescent="0.25">
      <c r="A7" t="s">
        <v>58</v>
      </c>
      <c r="B7" t="s">
        <v>169</v>
      </c>
      <c r="C7" t="s">
        <v>212</v>
      </c>
      <c r="D7" t="s">
        <v>55</v>
      </c>
      <c r="E7" t="s">
        <v>166</v>
      </c>
      <c r="F7">
        <v>3154</v>
      </c>
      <c r="G7" t="s">
        <v>59</v>
      </c>
      <c r="H7" t="s">
        <v>170</v>
      </c>
      <c r="I7" t="s">
        <v>171</v>
      </c>
      <c r="J7" t="str">
        <f t="shared" si="0"/>
        <v>Herr Wolfgang Grohs ; VIE AUK ; BAU04 ; 3154</v>
      </c>
      <c r="K7" t="s">
        <v>219</v>
      </c>
      <c r="L7" t="str">
        <f t="shared" si="1"/>
        <v>Wolfgang Grohs</v>
      </c>
    </row>
    <row r="8" spans="1:12" x14ac:dyDescent="0.25">
      <c r="A8" t="s">
        <v>56</v>
      </c>
      <c r="B8" t="s">
        <v>106</v>
      </c>
      <c r="C8" t="s">
        <v>212</v>
      </c>
      <c r="D8" t="s">
        <v>55</v>
      </c>
      <c r="E8" t="s">
        <v>166</v>
      </c>
      <c r="F8">
        <v>3153</v>
      </c>
      <c r="G8" t="s">
        <v>57</v>
      </c>
      <c r="H8" t="s">
        <v>167</v>
      </c>
      <c r="I8" t="s">
        <v>168</v>
      </c>
      <c r="J8" t="str">
        <f t="shared" si="0"/>
        <v>Herr Christian Jahrmann ; VIE AUK ; BAU04 ; 3153</v>
      </c>
      <c r="K8" t="s">
        <v>219</v>
      </c>
      <c r="L8" t="str">
        <f t="shared" si="1"/>
        <v>Christian Jahrmann</v>
      </c>
    </row>
    <row r="9" spans="1:12" x14ac:dyDescent="0.25">
      <c r="A9" t="s">
        <v>32</v>
      </c>
      <c r="B9" t="s">
        <v>121</v>
      </c>
      <c r="C9" t="s">
        <v>212</v>
      </c>
      <c r="D9" t="s">
        <v>25</v>
      </c>
      <c r="E9" t="s">
        <v>122</v>
      </c>
      <c r="F9" t="s">
        <v>123</v>
      </c>
      <c r="G9" t="s">
        <v>33</v>
      </c>
      <c r="H9" t="s">
        <v>124</v>
      </c>
      <c r="I9" t="s">
        <v>125</v>
      </c>
      <c r="J9" t="str">
        <f t="shared" si="0"/>
        <v>Herr Gerhard Jungmann ; VIE SIE ; GEBAEUDE 64 ; 64.EG.001</v>
      </c>
      <c r="K9" t="s">
        <v>216</v>
      </c>
      <c r="L9" t="str">
        <f t="shared" si="1"/>
        <v>Gerhard Jungmann</v>
      </c>
    </row>
    <row r="10" spans="1:12" x14ac:dyDescent="0.25">
      <c r="A10" t="s">
        <v>262</v>
      </c>
      <c r="B10" t="s">
        <v>121</v>
      </c>
      <c r="C10" t="s">
        <v>212</v>
      </c>
      <c r="D10" t="s">
        <v>25</v>
      </c>
      <c r="E10" t="s">
        <v>260</v>
      </c>
      <c r="F10">
        <v>3089</v>
      </c>
      <c r="G10" t="s">
        <v>33</v>
      </c>
      <c r="H10" t="s">
        <v>124</v>
      </c>
      <c r="I10" t="s">
        <v>125</v>
      </c>
      <c r="J10" t="str">
        <f t="shared" ref="J10" si="2">CONCATENATE(C10," ",B10," ",A10," ; ",D10," ; ",E10," ; ",F10)</f>
        <v>Herr Gerhard Jungmann (34) ; VIE SIE ; Bau 34 ; 3089</v>
      </c>
      <c r="K10" t="s">
        <v>216</v>
      </c>
      <c r="L10" t="str">
        <f t="shared" si="1"/>
        <v>Gerhard Jungmann (34)</v>
      </c>
    </row>
    <row r="11" spans="1:12" x14ac:dyDescent="0.25">
      <c r="A11" t="s">
        <v>72</v>
      </c>
      <c r="B11" t="s">
        <v>186</v>
      </c>
      <c r="C11" t="s">
        <v>212</v>
      </c>
      <c r="D11" t="s">
        <v>71</v>
      </c>
      <c r="F11" t="s">
        <v>235</v>
      </c>
      <c r="G11" t="s">
        <v>73</v>
      </c>
      <c r="H11" t="s">
        <v>187</v>
      </c>
      <c r="I11" t="s">
        <v>188</v>
      </c>
      <c r="J11" t="str">
        <f t="shared" si="0"/>
        <v>Herr Karlheinz Kerschbaumer ; KLU NLK ;  ; E06</v>
      </c>
      <c r="K11" t="s">
        <v>220</v>
      </c>
      <c r="L11" t="str">
        <f t="shared" si="1"/>
        <v>Karlheinz Kerschbaumer</v>
      </c>
    </row>
    <row r="12" spans="1:12" x14ac:dyDescent="0.25">
      <c r="A12" t="s">
        <v>34</v>
      </c>
      <c r="B12" t="s">
        <v>126</v>
      </c>
      <c r="C12" t="s">
        <v>212</v>
      </c>
      <c r="D12" t="s">
        <v>25</v>
      </c>
      <c r="E12" t="s">
        <v>110</v>
      </c>
      <c r="F12" t="s">
        <v>127</v>
      </c>
      <c r="G12" t="s">
        <v>35</v>
      </c>
      <c r="H12" t="s">
        <v>128</v>
      </c>
      <c r="I12" t="s">
        <v>129</v>
      </c>
      <c r="J12" t="str">
        <f t="shared" si="0"/>
        <v>Herr Martin Kobsik ; VIE SIE ; GEBAEUDE 60 ; 60.10.036</v>
      </c>
      <c r="K12" t="s">
        <v>216</v>
      </c>
      <c r="L12" t="str">
        <f t="shared" si="1"/>
        <v>Martin Kobsik</v>
      </c>
    </row>
    <row r="13" spans="1:12" x14ac:dyDescent="0.25">
      <c r="A13" t="s">
        <v>80</v>
      </c>
      <c r="B13" t="s">
        <v>152</v>
      </c>
      <c r="C13" t="s">
        <v>212</v>
      </c>
      <c r="D13" t="s">
        <v>79</v>
      </c>
      <c r="E13" t="s">
        <v>196</v>
      </c>
      <c r="F13" t="s">
        <v>139</v>
      </c>
      <c r="G13" t="s">
        <v>81</v>
      </c>
      <c r="H13" t="s">
        <v>197</v>
      </c>
      <c r="I13" t="s">
        <v>198</v>
      </c>
      <c r="J13" t="str">
        <f t="shared" si="0"/>
        <v>Herr Werner Krenn ; GRZ EGGEN ; B163 ; EG</v>
      </c>
      <c r="K13" t="s">
        <v>221</v>
      </c>
      <c r="L13" t="str">
        <f t="shared" si="1"/>
        <v>Werner Krenn</v>
      </c>
    </row>
    <row r="14" spans="1:12" x14ac:dyDescent="0.25">
      <c r="A14" t="s">
        <v>36</v>
      </c>
      <c r="B14" t="s">
        <v>130</v>
      </c>
      <c r="C14" t="s">
        <v>212</v>
      </c>
      <c r="D14" t="s">
        <v>25</v>
      </c>
      <c r="E14" t="s">
        <v>110</v>
      </c>
      <c r="F14" t="s">
        <v>131</v>
      </c>
      <c r="G14" t="s">
        <v>37</v>
      </c>
      <c r="H14" t="s">
        <v>132</v>
      </c>
      <c r="I14" t="s">
        <v>133</v>
      </c>
      <c r="J14" t="str">
        <f t="shared" si="0"/>
        <v>Herr Simon Kriha ; VIE SIE ; GEBAEUDE 60 ; 60.09.065</v>
      </c>
      <c r="K14" t="s">
        <v>216</v>
      </c>
      <c r="L14" t="str">
        <f t="shared" si="1"/>
        <v>Simon Kriha</v>
      </c>
    </row>
    <row r="15" spans="1:12" x14ac:dyDescent="0.25">
      <c r="A15" t="s">
        <v>257</v>
      </c>
      <c r="B15" t="s">
        <v>258</v>
      </c>
      <c r="C15" t="s">
        <v>212</v>
      </c>
      <c r="D15" t="s">
        <v>25</v>
      </c>
      <c r="E15" t="s">
        <v>259</v>
      </c>
      <c r="F15">
        <v>2007</v>
      </c>
      <c r="J15" t="str">
        <f t="shared" si="0"/>
        <v>Herr Ludwig Baliko ; VIE SIE ; Halle 14 ; 2007</v>
      </c>
      <c r="K15" t="s">
        <v>216</v>
      </c>
      <c r="L15" t="str">
        <f t="shared" si="1"/>
        <v>Ludwig Baliko</v>
      </c>
    </row>
    <row r="16" spans="1:12" x14ac:dyDescent="0.25">
      <c r="A16" t="s">
        <v>85</v>
      </c>
      <c r="B16" t="s">
        <v>202</v>
      </c>
      <c r="C16" t="s">
        <v>212</v>
      </c>
      <c r="D16" t="s">
        <v>84</v>
      </c>
      <c r="E16" t="s">
        <v>166</v>
      </c>
      <c r="F16">
        <v>4</v>
      </c>
      <c r="G16" t="s">
        <v>86</v>
      </c>
      <c r="H16" t="s">
        <v>203</v>
      </c>
      <c r="I16" t="s">
        <v>204</v>
      </c>
      <c r="J16" t="str">
        <f t="shared" si="0"/>
        <v>Herr Juergen Maikisch ; ENT EIS ; BAU04 ; 4</v>
      </c>
      <c r="K16" t="s">
        <v>222</v>
      </c>
      <c r="L16" t="str">
        <f t="shared" si="1"/>
        <v>Juergen Maikisch</v>
      </c>
    </row>
    <row r="17" spans="1:12" x14ac:dyDescent="0.25">
      <c r="A17" t="s">
        <v>38</v>
      </c>
      <c r="B17" t="s">
        <v>134</v>
      </c>
      <c r="C17" t="s">
        <v>212</v>
      </c>
      <c r="D17" t="s">
        <v>25</v>
      </c>
      <c r="E17" t="s">
        <v>110</v>
      </c>
      <c r="F17" t="s">
        <v>135</v>
      </c>
      <c r="G17" t="s">
        <v>39</v>
      </c>
      <c r="H17" t="s">
        <v>136</v>
      </c>
      <c r="I17" t="s">
        <v>137</v>
      </c>
      <c r="J17" t="str">
        <f t="shared" si="0"/>
        <v>Herr Harald Mergl ; VIE SIE ; GEBAEUDE 60 ; 60.02.055</v>
      </c>
      <c r="K17" t="s">
        <v>216</v>
      </c>
      <c r="L17" t="str">
        <f t="shared" si="1"/>
        <v>Harald Mergl</v>
      </c>
    </row>
    <row r="18" spans="1:12" x14ac:dyDescent="0.25">
      <c r="A18" t="s">
        <v>205</v>
      </c>
      <c r="B18" t="s">
        <v>206</v>
      </c>
      <c r="C18" t="s">
        <v>212</v>
      </c>
      <c r="D18" t="s">
        <v>87</v>
      </c>
      <c r="E18" t="s">
        <v>179</v>
      </c>
      <c r="F18">
        <v>102</v>
      </c>
      <c r="G18" t="s">
        <v>88</v>
      </c>
      <c r="H18" t="s">
        <v>207</v>
      </c>
      <c r="I18" t="s">
        <v>208</v>
      </c>
      <c r="J18" t="str">
        <f t="shared" si="0"/>
        <v>Herr Kurt Moerth ; BRG NLB ; BAU01 ; 102</v>
      </c>
      <c r="K18" t="s">
        <v>223</v>
      </c>
      <c r="L18" t="str">
        <f t="shared" si="1"/>
        <v>Kurt Moerth</v>
      </c>
    </row>
    <row r="19" spans="1:12" x14ac:dyDescent="0.25">
      <c r="A19" t="s">
        <v>20</v>
      </c>
      <c r="B19" t="s">
        <v>100</v>
      </c>
      <c r="C19" t="s">
        <v>212</v>
      </c>
      <c r="D19" t="s">
        <v>17</v>
      </c>
      <c r="E19" t="s">
        <v>96</v>
      </c>
      <c r="F19" t="s">
        <v>97</v>
      </c>
      <c r="G19" t="s">
        <v>21</v>
      </c>
      <c r="H19" t="s">
        <v>101</v>
      </c>
      <c r="I19" t="s">
        <v>102</v>
      </c>
      <c r="J19" t="str">
        <f t="shared" si="0"/>
        <v>Herr Manfred Painer ; WEZ EL ; BAU HP ; E0.05</v>
      </c>
      <c r="K19" t="s">
        <v>218</v>
      </c>
      <c r="L19" t="str">
        <f t="shared" si="1"/>
        <v>Manfred Painer</v>
      </c>
    </row>
    <row r="20" spans="1:12" x14ac:dyDescent="0.25">
      <c r="A20" t="s">
        <v>40</v>
      </c>
      <c r="B20" t="s">
        <v>138</v>
      </c>
      <c r="C20" t="s">
        <v>212</v>
      </c>
      <c r="D20" t="s">
        <v>25</v>
      </c>
      <c r="E20" t="s">
        <v>115</v>
      </c>
      <c r="F20" t="s">
        <v>139</v>
      </c>
      <c r="G20" t="s">
        <v>41</v>
      </c>
      <c r="H20" t="s">
        <v>140</v>
      </c>
      <c r="I20" t="s">
        <v>141</v>
      </c>
      <c r="J20" t="str">
        <f t="shared" si="0"/>
        <v>Herr Andreas Pertl ; VIE SIE ; BAU22 ; EG</v>
      </c>
      <c r="K20" t="s">
        <v>216</v>
      </c>
      <c r="L20" t="str">
        <f t="shared" si="1"/>
        <v>Andreas Pertl</v>
      </c>
    </row>
    <row r="21" spans="1:12" x14ac:dyDescent="0.25">
      <c r="A21" t="s">
        <v>65</v>
      </c>
      <c r="B21" t="s">
        <v>126</v>
      </c>
      <c r="C21" t="s">
        <v>212</v>
      </c>
      <c r="D21" t="s">
        <v>67</v>
      </c>
      <c r="E21" t="s">
        <v>179</v>
      </c>
      <c r="F21">
        <v>1048</v>
      </c>
      <c r="G21" t="s">
        <v>66</v>
      </c>
      <c r="H21" t="s">
        <v>180</v>
      </c>
      <c r="I21" t="s">
        <v>181</v>
      </c>
      <c r="J21" t="str">
        <f t="shared" si="0"/>
        <v>Herr Martin Reisinger ; LNZ NLL ; BAU01 ; 1048</v>
      </c>
      <c r="K21" t="s">
        <v>224</v>
      </c>
      <c r="L21" t="str">
        <f t="shared" si="1"/>
        <v>Martin Reisinger</v>
      </c>
    </row>
    <row r="22" spans="1:12" x14ac:dyDescent="0.25">
      <c r="A22" t="s">
        <v>142</v>
      </c>
      <c r="B22" t="s">
        <v>143</v>
      </c>
      <c r="C22" t="s">
        <v>212</v>
      </c>
      <c r="D22" t="s">
        <v>25</v>
      </c>
      <c r="E22" t="s">
        <v>110</v>
      </c>
      <c r="F22" t="s">
        <v>144</v>
      </c>
      <c r="G22" t="s">
        <v>42</v>
      </c>
      <c r="H22" t="s">
        <v>145</v>
      </c>
      <c r="I22" t="s">
        <v>146</v>
      </c>
      <c r="J22" t="str">
        <f t="shared" si="0"/>
        <v>Herr Siegfried Roemer ; VIE SIE ; GEBAEUDE 60 ; 60.10.094</v>
      </c>
      <c r="K22" t="s">
        <v>216</v>
      </c>
      <c r="L22" t="str">
        <f t="shared" si="1"/>
        <v>Siegfried Roemer</v>
      </c>
    </row>
    <row r="23" spans="1:12" x14ac:dyDescent="0.25">
      <c r="A23" t="s">
        <v>48</v>
      </c>
      <c r="B23" t="s">
        <v>156</v>
      </c>
      <c r="C23" t="s">
        <v>212</v>
      </c>
      <c r="D23" t="s">
        <v>47</v>
      </c>
      <c r="E23" t="s">
        <v>157</v>
      </c>
      <c r="F23">
        <v>141</v>
      </c>
      <c r="G23" t="s">
        <v>49</v>
      </c>
      <c r="H23" t="s">
        <v>158</v>
      </c>
      <c r="I23" t="s">
        <v>159</v>
      </c>
      <c r="J23" t="str">
        <f t="shared" si="0"/>
        <v>Herr Leopold Rudischer ; VIE RU ; BAU68 ; 141</v>
      </c>
      <c r="K23" t="s">
        <v>225</v>
      </c>
      <c r="L23" t="str">
        <f t="shared" si="1"/>
        <v>Leopold Rudischer</v>
      </c>
    </row>
    <row r="24" spans="1:12" x14ac:dyDescent="0.25">
      <c r="A24" t="s">
        <v>76</v>
      </c>
      <c r="B24" t="s">
        <v>175</v>
      </c>
      <c r="C24" t="s">
        <v>212</v>
      </c>
      <c r="D24" t="s">
        <v>78</v>
      </c>
      <c r="E24" t="s">
        <v>179</v>
      </c>
      <c r="F24" t="s">
        <v>193</v>
      </c>
      <c r="G24" t="s">
        <v>77</v>
      </c>
      <c r="H24" t="s">
        <v>194</v>
      </c>
      <c r="I24" t="s">
        <v>195</v>
      </c>
      <c r="J24" t="str">
        <f t="shared" si="0"/>
        <v>Herr Roland Schruef ; GRZ NLG ; BAU01 ; E03</v>
      </c>
      <c r="K24" t="s">
        <v>448</v>
      </c>
      <c r="L24" t="str">
        <f t="shared" si="1"/>
        <v>Roland Schruef</v>
      </c>
    </row>
    <row r="25" spans="1:12" x14ac:dyDescent="0.25">
      <c r="A25" t="s">
        <v>450</v>
      </c>
      <c r="B25" t="s">
        <v>444</v>
      </c>
      <c r="C25" t="s">
        <v>212</v>
      </c>
      <c r="D25" t="s">
        <v>78</v>
      </c>
      <c r="E25" t="s">
        <v>179</v>
      </c>
      <c r="F25" t="s">
        <v>193</v>
      </c>
      <c r="G25" t="s">
        <v>447</v>
      </c>
      <c r="H25" s="28" t="s">
        <v>445</v>
      </c>
      <c r="I25" s="29" t="s">
        <v>446</v>
      </c>
      <c r="J25" t="str">
        <f t="shared" ref="J25" si="3">CONCATENATE(C25," ",B25," ",A25," ; ",D25," ; ",E25," ; ",F25)</f>
        <v>Herr Jürgen Schweighofer J. ; GRZ NLG ; BAU01 ; E03</v>
      </c>
      <c r="K25" t="s">
        <v>448</v>
      </c>
      <c r="L25" t="str">
        <f t="shared" ref="L25" si="4">B25&amp;" "&amp;A25</f>
        <v>Jürgen Schweighofer J.</v>
      </c>
    </row>
    <row r="26" spans="1:12" x14ac:dyDescent="0.25">
      <c r="A26" t="s">
        <v>451</v>
      </c>
      <c r="B26" t="s">
        <v>103</v>
      </c>
      <c r="C26" t="s">
        <v>212</v>
      </c>
      <c r="D26" t="s">
        <v>17</v>
      </c>
      <c r="E26" t="s">
        <v>96</v>
      </c>
      <c r="F26" t="s">
        <v>97</v>
      </c>
      <c r="G26" t="s">
        <v>22</v>
      </c>
      <c r="H26" t="s">
        <v>104</v>
      </c>
      <c r="I26" t="s">
        <v>105</v>
      </c>
      <c r="J26" t="str">
        <f t="shared" si="0"/>
        <v>Herr Herbert Schweighofer H. ; WEZ EL ; BAU HP ; E0.05</v>
      </c>
      <c r="K26" t="s">
        <v>218</v>
      </c>
      <c r="L26" t="str">
        <f t="shared" si="1"/>
        <v>Herbert Schweighofer H.</v>
      </c>
    </row>
    <row r="27" spans="1:12" x14ac:dyDescent="0.25">
      <c r="A27" t="s">
        <v>23</v>
      </c>
      <c r="B27" t="s">
        <v>106</v>
      </c>
      <c r="C27" t="s">
        <v>212</v>
      </c>
      <c r="D27" t="s">
        <v>17</v>
      </c>
      <c r="E27" t="s">
        <v>96</v>
      </c>
      <c r="F27" t="s">
        <v>97</v>
      </c>
      <c r="G27" t="s">
        <v>24</v>
      </c>
      <c r="H27" t="s">
        <v>107</v>
      </c>
      <c r="I27" t="s">
        <v>108</v>
      </c>
      <c r="J27" t="str">
        <f t="shared" si="0"/>
        <v>Herr Christian Spirk ; WEZ EL ; BAU HP ; E0.05</v>
      </c>
      <c r="K27" t="s">
        <v>218</v>
      </c>
      <c r="L27" t="str">
        <f t="shared" si="1"/>
        <v>Christian Spirk</v>
      </c>
    </row>
    <row r="28" spans="1:12" x14ac:dyDescent="0.25">
      <c r="A28" t="s">
        <v>43</v>
      </c>
      <c r="B28" t="s">
        <v>147</v>
      </c>
      <c r="C28" t="s">
        <v>212</v>
      </c>
      <c r="D28" t="s">
        <v>25</v>
      </c>
      <c r="E28" t="s">
        <v>148</v>
      </c>
      <c r="F28" t="s">
        <v>149</v>
      </c>
      <c r="G28" t="s">
        <v>44</v>
      </c>
      <c r="H28" t="s">
        <v>150</v>
      </c>
      <c r="I28" t="s">
        <v>151</v>
      </c>
      <c r="J28" t="str">
        <f t="shared" si="0"/>
        <v>Herr Florian Stegmeier ; VIE SIE ; GEBAEUDE 63 ; 63.03.011</v>
      </c>
      <c r="K28" t="s">
        <v>216</v>
      </c>
      <c r="L28" t="str">
        <f t="shared" si="1"/>
        <v>Florian Stegmeier</v>
      </c>
    </row>
    <row r="29" spans="1:12" x14ac:dyDescent="0.25">
      <c r="A29" t="s">
        <v>60</v>
      </c>
      <c r="B29" t="s">
        <v>172</v>
      </c>
      <c r="C29" t="s">
        <v>212</v>
      </c>
      <c r="D29" t="s">
        <v>55</v>
      </c>
      <c r="E29" t="s">
        <v>166</v>
      </c>
      <c r="F29">
        <v>3154</v>
      </c>
      <c r="G29" t="s">
        <v>61</v>
      </c>
      <c r="H29" t="s">
        <v>173</v>
      </c>
      <c r="I29" t="s">
        <v>174</v>
      </c>
      <c r="J29" t="str">
        <f t="shared" si="0"/>
        <v>Herr Klemens Steiner ; VIE AUK ; BAU04 ; 3154</v>
      </c>
      <c r="K29" t="s">
        <v>219</v>
      </c>
      <c r="L29" t="str">
        <f t="shared" si="1"/>
        <v>Klemens Steiner</v>
      </c>
    </row>
    <row r="30" spans="1:12" x14ac:dyDescent="0.25">
      <c r="A30" t="s">
        <v>69</v>
      </c>
      <c r="B30" t="s">
        <v>143</v>
      </c>
      <c r="C30" t="s">
        <v>212</v>
      </c>
      <c r="D30" t="s">
        <v>68</v>
      </c>
      <c r="E30" t="s">
        <v>182</v>
      </c>
      <c r="F30" t="s">
        <v>183</v>
      </c>
      <c r="G30" t="s">
        <v>70</v>
      </c>
      <c r="H30" t="s">
        <v>184</v>
      </c>
      <c r="I30" t="s">
        <v>185</v>
      </c>
      <c r="J30" t="str">
        <f t="shared" si="0"/>
        <v>Herr Siegfried Tauber ; LNZ KR ; BAU E ; E605</v>
      </c>
      <c r="K30" t="s">
        <v>226</v>
      </c>
      <c r="L30" t="str">
        <f t="shared" si="1"/>
        <v>Siegfried Tauber</v>
      </c>
    </row>
    <row r="31" spans="1:12" x14ac:dyDescent="0.25">
      <c r="A31" t="s">
        <v>45</v>
      </c>
      <c r="B31" t="s">
        <v>152</v>
      </c>
      <c r="C31" t="s">
        <v>212</v>
      </c>
      <c r="D31" t="s">
        <v>25</v>
      </c>
      <c r="E31" t="s">
        <v>153</v>
      </c>
      <c r="F31">
        <v>1031</v>
      </c>
      <c r="G31" t="s">
        <v>46</v>
      </c>
      <c r="H31" t="s">
        <v>154</v>
      </c>
      <c r="I31" t="s">
        <v>155</v>
      </c>
      <c r="J31" t="str">
        <f t="shared" si="0"/>
        <v>Herr Werner Treml ; VIE SIE ; BAU12 ; 1031</v>
      </c>
      <c r="K31" t="s">
        <v>216</v>
      </c>
      <c r="L31" t="str">
        <f t="shared" si="1"/>
        <v>Werner Treml</v>
      </c>
    </row>
    <row r="32" spans="1:12" x14ac:dyDescent="0.25">
      <c r="A32" t="s">
        <v>51</v>
      </c>
      <c r="B32" t="s">
        <v>100</v>
      </c>
      <c r="C32" t="s">
        <v>212</v>
      </c>
      <c r="D32" t="s">
        <v>50</v>
      </c>
      <c r="E32" t="s">
        <v>160</v>
      </c>
      <c r="F32" t="s">
        <v>161</v>
      </c>
      <c r="G32" t="s">
        <v>52</v>
      </c>
      <c r="H32" t="s">
        <v>162</v>
      </c>
      <c r="I32" t="s">
        <v>163</v>
      </c>
      <c r="J32" t="str">
        <f t="shared" si="0"/>
        <v>Herr Manfred Wachold ; VIE LEB ; B100 ; E055</v>
      </c>
      <c r="K32" t="s">
        <v>227</v>
      </c>
      <c r="L32" t="str">
        <f t="shared" si="1"/>
        <v>Manfred Wachold</v>
      </c>
    </row>
    <row r="33" spans="1:12" x14ac:dyDescent="0.25">
      <c r="A33" t="s">
        <v>63</v>
      </c>
      <c r="B33" t="s">
        <v>175</v>
      </c>
      <c r="C33" t="s">
        <v>212</v>
      </c>
      <c r="D33" t="s">
        <v>62</v>
      </c>
      <c r="E33" t="s">
        <v>176</v>
      </c>
      <c r="F33">
        <v>1230</v>
      </c>
      <c r="G33" t="s">
        <v>64</v>
      </c>
      <c r="H33" t="s">
        <v>177</v>
      </c>
      <c r="I33" t="s">
        <v>178</v>
      </c>
      <c r="J33" t="str">
        <f t="shared" si="0"/>
        <v>Herr Roland Wittich ; SZG NLS ; BAU02 ; 1230</v>
      </c>
      <c r="K33" t="s">
        <v>228</v>
      </c>
      <c r="L33" t="str">
        <f t="shared" si="1"/>
        <v>Roland Wittich</v>
      </c>
    </row>
    <row r="34" spans="1:12" x14ac:dyDescent="0.25">
      <c r="A34" t="s">
        <v>82</v>
      </c>
      <c r="B34" t="s">
        <v>199</v>
      </c>
      <c r="C34" t="s">
        <v>213</v>
      </c>
      <c r="D34" t="s">
        <v>79</v>
      </c>
      <c r="E34" t="s">
        <v>196</v>
      </c>
      <c r="F34" t="s">
        <v>139</v>
      </c>
      <c r="G34" t="s">
        <v>83</v>
      </c>
      <c r="H34" t="s">
        <v>200</v>
      </c>
      <c r="I34" t="s">
        <v>201</v>
      </c>
      <c r="J34" t="str">
        <f t="shared" si="0"/>
        <v>Frau Eveline Wolf ; GRZ EGGEN ; B163 ; EG</v>
      </c>
      <c r="K34" t="s">
        <v>221</v>
      </c>
      <c r="L34" t="str">
        <f t="shared" si="1"/>
        <v>Eveline Wolf</v>
      </c>
    </row>
    <row r="35" spans="1:12" x14ac:dyDescent="0.25">
      <c r="A35" t="s">
        <v>53</v>
      </c>
      <c r="B35" t="s">
        <v>126</v>
      </c>
      <c r="C35" t="s">
        <v>212</v>
      </c>
      <c r="D35" t="s">
        <v>50</v>
      </c>
      <c r="E35" t="s">
        <v>160</v>
      </c>
      <c r="F35" t="s">
        <v>161</v>
      </c>
      <c r="G35" t="s">
        <v>54</v>
      </c>
      <c r="H35" t="s">
        <v>164</v>
      </c>
      <c r="I35" t="s">
        <v>165</v>
      </c>
      <c r="J35" t="str">
        <f t="shared" si="0"/>
        <v>Herr Martin Zugriegl ; VIE LEB ; B100 ; E055</v>
      </c>
      <c r="K35" t="s">
        <v>227</v>
      </c>
      <c r="L35" t="str">
        <f t="shared" si="1"/>
        <v>Martin Zugriegl</v>
      </c>
    </row>
  </sheetData>
  <sortState xmlns:xlrd2="http://schemas.microsoft.com/office/spreadsheetml/2017/richdata2" ref="A2:J32">
    <sortCondition ref="A2:A32"/>
  </sortState>
  <hyperlinks>
    <hyperlink ref="I25" r:id="rId1" xr:uid="{00000000-0004-0000-0200-000000000000}"/>
  </hyperlink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C33"/>
  <sheetViews>
    <sheetView workbookViewId="0">
      <selection activeCell="A30" sqref="A30"/>
    </sheetView>
  </sheetViews>
  <sheetFormatPr defaultColWidth="57.81640625" defaultRowHeight="12.5" x14ac:dyDescent="0.25"/>
  <cols>
    <col min="1" max="1" width="54.1796875" bestFit="1" customWidth="1"/>
  </cols>
  <sheetData>
    <row r="1" spans="1:3" ht="13" x14ac:dyDescent="0.25">
      <c r="A1" s="1" t="s">
        <v>229</v>
      </c>
    </row>
    <row r="2" spans="1:3" x14ac:dyDescent="0.25">
      <c r="A2" s="2" t="s">
        <v>249</v>
      </c>
      <c r="B2" t="s">
        <v>236</v>
      </c>
    </row>
    <row r="3" spans="1:3" x14ac:dyDescent="0.25">
      <c r="A3" s="2" t="s">
        <v>248</v>
      </c>
      <c r="B3" t="s">
        <v>236</v>
      </c>
      <c r="C3" t="s">
        <v>6</v>
      </c>
    </row>
    <row r="4" spans="1:3" x14ac:dyDescent="0.25">
      <c r="A4" s="2" t="s">
        <v>261</v>
      </c>
      <c r="B4" t="s">
        <v>14</v>
      </c>
      <c r="C4" t="s">
        <v>7</v>
      </c>
    </row>
    <row r="5" spans="1:3" x14ac:dyDescent="0.25">
      <c r="A5" s="2" t="s">
        <v>237</v>
      </c>
      <c r="B5" t="s">
        <v>237</v>
      </c>
      <c r="C5" t="s">
        <v>8</v>
      </c>
    </row>
    <row r="6" spans="1:3" x14ac:dyDescent="0.25">
      <c r="A6" s="2" t="s">
        <v>13</v>
      </c>
      <c r="B6" t="s">
        <v>13</v>
      </c>
      <c r="C6" t="s">
        <v>9</v>
      </c>
    </row>
    <row r="7" spans="1:3" x14ac:dyDescent="0.25">
      <c r="A7" s="2" t="s">
        <v>9</v>
      </c>
      <c r="B7" t="s">
        <v>9</v>
      </c>
      <c r="C7" t="s">
        <v>10</v>
      </c>
    </row>
    <row r="8" spans="1:3" x14ac:dyDescent="0.25">
      <c r="A8" s="2" t="s">
        <v>239</v>
      </c>
      <c r="B8" t="s">
        <v>239</v>
      </c>
      <c r="C8" t="s">
        <v>11</v>
      </c>
    </row>
    <row r="9" spans="1:3" x14ac:dyDescent="0.25">
      <c r="A9" s="2" t="s">
        <v>253</v>
      </c>
      <c r="B9" t="s">
        <v>14</v>
      </c>
      <c r="C9" t="s">
        <v>14</v>
      </c>
    </row>
    <row r="10" spans="1:3" x14ac:dyDescent="0.25">
      <c r="A10" s="2" t="s">
        <v>245</v>
      </c>
      <c r="B10" t="s">
        <v>7</v>
      </c>
      <c r="C10" t="s">
        <v>236</v>
      </c>
    </row>
    <row r="11" spans="1:3" x14ac:dyDescent="0.25">
      <c r="A11" s="2" t="s">
        <v>244</v>
      </c>
      <c r="B11" t="s">
        <v>7</v>
      </c>
      <c r="C11" t="s">
        <v>237</v>
      </c>
    </row>
    <row r="12" spans="1:3" x14ac:dyDescent="0.25">
      <c r="A12" s="2" t="s">
        <v>246</v>
      </c>
      <c r="B12" t="s">
        <v>7</v>
      </c>
      <c r="C12" t="s">
        <v>238</v>
      </c>
    </row>
    <row r="13" spans="1:3" x14ac:dyDescent="0.25">
      <c r="A13" s="2" t="s">
        <v>14</v>
      </c>
      <c r="B13" t="s">
        <v>14</v>
      </c>
      <c r="C13" t="s">
        <v>239</v>
      </c>
    </row>
    <row r="14" spans="1:3" x14ac:dyDescent="0.25">
      <c r="A14" s="2" t="s">
        <v>254</v>
      </c>
      <c r="B14" t="s">
        <v>14</v>
      </c>
      <c r="C14" t="s">
        <v>240</v>
      </c>
    </row>
    <row r="15" spans="1:3" x14ac:dyDescent="0.25">
      <c r="A15" s="2" t="s">
        <v>250</v>
      </c>
      <c r="B15" t="s">
        <v>10</v>
      </c>
    </row>
    <row r="16" spans="1:3" x14ac:dyDescent="0.25">
      <c r="A16" s="2" t="s">
        <v>247</v>
      </c>
      <c r="B16" t="s">
        <v>8</v>
      </c>
    </row>
    <row r="17" spans="1:2" x14ac:dyDescent="0.25">
      <c r="A17" s="2" t="s">
        <v>240</v>
      </c>
      <c r="B17" t="s">
        <v>8</v>
      </c>
    </row>
    <row r="18" spans="1:2" x14ac:dyDescent="0.25">
      <c r="A18" s="2" t="s">
        <v>256</v>
      </c>
      <c r="B18" t="s">
        <v>240</v>
      </c>
    </row>
    <row r="19" spans="1:2" x14ac:dyDescent="0.25">
      <c r="A19" s="2" t="s">
        <v>255</v>
      </c>
      <c r="B19" t="s">
        <v>240</v>
      </c>
    </row>
    <row r="20" spans="1:2" x14ac:dyDescent="0.25">
      <c r="A20" s="15" t="s">
        <v>12</v>
      </c>
      <c r="B20" t="s">
        <v>12</v>
      </c>
    </row>
    <row r="21" spans="1:2" x14ac:dyDescent="0.25">
      <c r="A21" s="14" t="s">
        <v>436</v>
      </c>
      <c r="B21" t="s">
        <v>6</v>
      </c>
    </row>
    <row r="22" spans="1:2" x14ac:dyDescent="0.25">
      <c r="A22" s="2" t="s">
        <v>238</v>
      </c>
      <c r="B22" t="s">
        <v>238</v>
      </c>
    </row>
    <row r="23" spans="1:2" x14ac:dyDescent="0.25">
      <c r="A23" s="3" t="s">
        <v>252</v>
      </c>
      <c r="B23" t="s">
        <v>14</v>
      </c>
    </row>
    <row r="24" spans="1:2" x14ac:dyDescent="0.25">
      <c r="A24" s="18" t="s">
        <v>264</v>
      </c>
      <c r="B24" t="s">
        <v>264</v>
      </c>
    </row>
    <row r="25" spans="1:2" x14ac:dyDescent="0.25">
      <c r="A25" s="18"/>
    </row>
    <row r="26" spans="1:2" x14ac:dyDescent="0.25">
      <c r="A26" s="2"/>
    </row>
    <row r="27" spans="1:2" x14ac:dyDescent="0.25">
      <c r="A27" s="2"/>
    </row>
    <row r="28" spans="1:2" x14ac:dyDescent="0.25">
      <c r="A28" s="3"/>
    </row>
    <row r="29" spans="1:2" x14ac:dyDescent="0.25">
      <c r="A29" s="18"/>
    </row>
    <row r="32" spans="1:2" x14ac:dyDescent="0.25">
      <c r="A32" s="15" t="s">
        <v>242</v>
      </c>
    </row>
    <row r="33" spans="1:1" x14ac:dyDescent="0.25">
      <c r="A33" s="15" t="s">
        <v>243</v>
      </c>
    </row>
  </sheetData>
  <sortState xmlns:xlrd2="http://schemas.microsoft.com/office/spreadsheetml/2017/richdata2" ref="A2:B33">
    <sortCondition ref="A2:A33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D7"/>
  <sheetViews>
    <sheetView workbookViewId="0">
      <selection activeCell="B8" sqref="B8"/>
    </sheetView>
  </sheetViews>
  <sheetFormatPr defaultColWidth="11.54296875" defaultRowHeight="12.5" x14ac:dyDescent="0.25"/>
  <cols>
    <col min="1" max="1" width="11.54296875" style="25"/>
    <col min="2" max="2" width="95.26953125" style="26" customWidth="1"/>
    <col min="3" max="3" width="13.81640625" style="26" bestFit="1" customWidth="1"/>
    <col min="4" max="16384" width="11.54296875" style="26"/>
  </cols>
  <sheetData>
    <row r="1" spans="1:4" x14ac:dyDescent="0.25">
      <c r="A1" s="25" t="s">
        <v>440</v>
      </c>
      <c r="B1" s="26" t="s">
        <v>441</v>
      </c>
      <c r="C1" s="26" t="s">
        <v>442</v>
      </c>
      <c r="D1" s="26" t="s">
        <v>443</v>
      </c>
    </row>
    <row r="2" spans="1:4" x14ac:dyDescent="0.25">
      <c r="A2" s="25" t="s">
        <v>267</v>
      </c>
      <c r="B2" s="26" t="s">
        <v>268</v>
      </c>
      <c r="C2" s="26" t="s">
        <v>34</v>
      </c>
      <c r="D2" s="27">
        <v>42720</v>
      </c>
    </row>
    <row r="3" spans="1:4" ht="37.5" x14ac:dyDescent="0.25">
      <c r="A3" s="25" t="s">
        <v>269</v>
      </c>
      <c r="B3" s="26" t="s">
        <v>439</v>
      </c>
      <c r="C3" s="26" t="s">
        <v>34</v>
      </c>
      <c r="D3" s="27">
        <v>42762</v>
      </c>
    </row>
    <row r="4" spans="1:4" x14ac:dyDescent="0.25">
      <c r="A4" s="25" t="s">
        <v>449</v>
      </c>
      <c r="B4" s="26" t="s">
        <v>453</v>
      </c>
      <c r="C4" s="26" t="s">
        <v>34</v>
      </c>
      <c r="D4" s="27">
        <v>42781</v>
      </c>
    </row>
    <row r="5" spans="1:4" x14ac:dyDescent="0.25">
      <c r="A5" s="25" t="s">
        <v>454</v>
      </c>
      <c r="B5" s="26" t="s">
        <v>455</v>
      </c>
      <c r="C5" s="26" t="s">
        <v>34</v>
      </c>
      <c r="D5" s="27">
        <v>42787</v>
      </c>
    </row>
    <row r="6" spans="1:4" x14ac:dyDescent="0.25">
      <c r="A6" s="25" t="s">
        <v>456</v>
      </c>
      <c r="B6" s="26" t="s">
        <v>457</v>
      </c>
      <c r="C6" s="26" t="s">
        <v>34</v>
      </c>
      <c r="D6" s="27">
        <v>42872</v>
      </c>
    </row>
    <row r="7" spans="1:4" x14ac:dyDescent="0.25">
      <c r="A7" s="25" t="s">
        <v>459</v>
      </c>
      <c r="B7" s="26" t="s">
        <v>460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V31"/>
  <sheetViews>
    <sheetView workbookViewId="0">
      <pane ySplit="790" topLeftCell="A13" activePane="bottomLeft"/>
      <selection activeCell="S1" sqref="S1:V1"/>
      <selection pane="bottomLeft" activeCell="E18" sqref="E18"/>
    </sheetView>
  </sheetViews>
  <sheetFormatPr defaultColWidth="11.54296875" defaultRowHeight="12.5" x14ac:dyDescent="0.25"/>
  <cols>
    <col min="1" max="2" width="11.54296875" style="9"/>
    <col min="3" max="3" width="3.453125" style="9" bestFit="1" customWidth="1"/>
    <col min="4" max="8" width="4.7265625" style="9" bestFit="1" customWidth="1"/>
    <col min="9" max="9" width="11.54296875" style="9"/>
    <col min="10" max="10" width="23.453125" style="9" customWidth="1"/>
    <col min="11" max="11" width="55.1796875" style="9" customWidth="1"/>
    <col min="12" max="12" width="19.1796875" style="9" customWidth="1"/>
    <col min="13" max="13" width="11.54296875" style="9"/>
    <col min="14" max="20" width="4.7265625" style="9" customWidth="1"/>
    <col min="21" max="16384" width="11.54296875" style="9"/>
  </cols>
  <sheetData>
    <row r="1" spans="1:22" x14ac:dyDescent="0.25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</row>
    <row r="15" spans="1:22" x14ac:dyDescent="0.25">
      <c r="C15" s="9">
        <v>3</v>
      </c>
      <c r="D15" s="9">
        <v>4</v>
      </c>
      <c r="E15" s="9">
        <v>5</v>
      </c>
      <c r="F15" s="9">
        <v>6</v>
      </c>
      <c r="G15" s="9">
        <v>7</v>
      </c>
      <c r="H15" s="9">
        <v>8</v>
      </c>
    </row>
    <row r="16" spans="1:22" x14ac:dyDescent="0.25">
      <c r="C16" s="44" t="s">
        <v>270</v>
      </c>
      <c r="D16" s="45"/>
      <c r="E16" s="45"/>
      <c r="F16" s="45"/>
      <c r="G16" s="45"/>
      <c r="H16" s="46"/>
    </row>
    <row r="17" spans="3:12" x14ac:dyDescent="0.25">
      <c r="C17" s="7" t="s">
        <v>271</v>
      </c>
      <c r="D17" s="7" t="s">
        <v>272</v>
      </c>
      <c r="E17" s="7" t="s">
        <v>273</v>
      </c>
      <c r="F17" s="7" t="s">
        <v>274</v>
      </c>
      <c r="G17" s="7" t="s">
        <v>275</v>
      </c>
      <c r="H17" s="7" t="s">
        <v>276</v>
      </c>
    </row>
    <row r="18" spans="3:12" ht="269.5" customHeight="1" x14ac:dyDescent="0.25">
      <c r="C18" s="20" t="s">
        <v>437</v>
      </c>
      <c r="D18" s="20" t="s">
        <v>438</v>
      </c>
      <c r="E18" s="20"/>
      <c r="F18" s="20" t="str">
        <f>IF(ISNA(VLOOKUP(Erfassungsblatt!$D$1,BSPs!A:I,9,FALSE))=TRUE,"",VLOOKUP(Erfassungsblatt!$D$1,BSPs!A:I,9,FALSE))</f>
        <v xml:space="preserve">werner.j.krenn@siemens.com </v>
      </c>
      <c r="G18" s="20"/>
      <c r="H18" s="20"/>
    </row>
    <row r="20" spans="3:12" x14ac:dyDescent="0.25">
      <c r="J20" s="9" t="s">
        <v>431</v>
      </c>
      <c r="K20" s="9" t="s">
        <v>432</v>
      </c>
      <c r="L20" s="21" t="s">
        <v>429</v>
      </c>
    </row>
    <row r="21" spans="3:12" ht="25" x14ac:dyDescent="0.25">
      <c r="J21" s="7" t="s">
        <v>433</v>
      </c>
      <c r="K21" s="9" t="str">
        <f>K22&amp;$L$21&amp;K23&amp;$L$21&amp;K24&amp;$L$21&amp;K25&amp;$L$21&amp;K26&amp;$L$21&amp;K27&amp;$L$21&amp;K28&amp;$L$21&amp;K29&amp;$L$21&amp;K30&amp;$L$21&amp;K31</f>
        <v xml:space="preserve">Sehr geehrte Damen und Herren,
Bitte um Abholung der in der Anlage aufgelisteten Altteile.
Details zum Abholort können Sie ebenfalls der Anlage entnehmen.
Vielen Dank
</v>
      </c>
      <c r="L21" s="22" t="s">
        <v>430</v>
      </c>
    </row>
    <row r="22" spans="3:12" x14ac:dyDescent="0.25">
      <c r="K22" s="21" t="s">
        <v>277</v>
      </c>
    </row>
    <row r="23" spans="3:12" x14ac:dyDescent="0.25">
      <c r="K23" s="23"/>
    </row>
    <row r="24" spans="3:12" x14ac:dyDescent="0.25">
      <c r="K24" s="23" t="s">
        <v>434</v>
      </c>
    </row>
    <row r="25" spans="3:12" x14ac:dyDescent="0.25">
      <c r="K25" s="23" t="s">
        <v>435</v>
      </c>
    </row>
    <row r="26" spans="3:12" x14ac:dyDescent="0.25">
      <c r="K26" s="23"/>
    </row>
    <row r="27" spans="3:12" x14ac:dyDescent="0.25">
      <c r="K27" s="23" t="s">
        <v>278</v>
      </c>
    </row>
    <row r="28" spans="3:12" x14ac:dyDescent="0.25">
      <c r="K28" s="23"/>
    </row>
    <row r="29" spans="3:12" x14ac:dyDescent="0.25">
      <c r="K29" s="23"/>
    </row>
    <row r="30" spans="3:12" x14ac:dyDescent="0.25">
      <c r="K30" s="23"/>
    </row>
    <row r="31" spans="3:12" x14ac:dyDescent="0.25">
      <c r="K31" s="24"/>
    </row>
  </sheetData>
  <mergeCells count="1">
    <mergeCell ref="C16:H16"/>
  </mergeCells>
  <hyperlinks>
    <hyperlink ref="C18" r:id="rId1" xr:uid="{00000000-0004-0000-0500-000000000000}"/>
    <hyperlink ref="D18" r:id="rId2" xr:uid="{00000000-0004-0000-0500-000001000000}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/>
  <dimension ref="A1:E51"/>
  <sheetViews>
    <sheetView workbookViewId="0">
      <selection sqref="A1:XFD1048576"/>
    </sheetView>
  </sheetViews>
  <sheetFormatPr defaultColWidth="11.54296875" defaultRowHeight="12.5" x14ac:dyDescent="0.25"/>
  <cols>
    <col min="1" max="1" width="13" style="9" customWidth="1"/>
    <col min="2" max="2" width="17.54296875" style="9" customWidth="1"/>
    <col min="3" max="3" width="16.26953125" style="9" bestFit="1" customWidth="1"/>
    <col min="4" max="4" width="12.81640625" style="9" bestFit="1" customWidth="1"/>
    <col min="5" max="5" width="11.54296875" style="9" bestFit="1" customWidth="1"/>
    <col min="6" max="16384" width="11.54296875" style="9"/>
  </cols>
  <sheetData>
    <row r="1" spans="1:5" x14ac:dyDescent="0.25">
      <c r="A1" s="9" t="s">
        <v>330</v>
      </c>
      <c r="B1" s="9" t="s">
        <v>1</v>
      </c>
      <c r="C1" s="9" t="s">
        <v>0</v>
      </c>
      <c r="D1" s="9" t="s">
        <v>331</v>
      </c>
      <c r="E1" s="9" t="s">
        <v>332</v>
      </c>
    </row>
    <row r="2" spans="1:5" x14ac:dyDescent="0.25">
      <c r="A2" s="9" t="s">
        <v>280</v>
      </c>
      <c r="B2" s="9">
        <f>Mail_Ausscheidung_HILF!F2</f>
        <v>6000123505</v>
      </c>
      <c r="C2" s="9" t="str">
        <f>Mail_Ausscheidung_HILF!G2</f>
        <v>0062198716</v>
      </c>
      <c r="D2" s="9" t="str">
        <f>Mail_Ausscheidung_HILF!H2</f>
        <v>dsds123505</v>
      </c>
      <c r="E2" s="9" t="str">
        <f>Mail_Ausscheidung_HILF!I2</f>
        <v>Notebook 15"</v>
      </c>
    </row>
    <row r="3" spans="1:5" x14ac:dyDescent="0.25">
      <c r="A3" s="9" t="s">
        <v>281</v>
      </c>
      <c r="B3" s="9">
        <f>Mail_Ausscheidung_HILF!F3</f>
        <v>6000123504</v>
      </c>
      <c r="C3" s="9" t="str">
        <f>Mail_Ausscheidung_HILF!G3</f>
        <v>0062198717</v>
      </c>
      <c r="D3" s="9" t="str">
        <f>Mail_Ausscheidung_HILF!H3</f>
        <v>dsds123504</v>
      </c>
      <c r="E3" s="9" t="str">
        <f>Mail_Ausscheidung_HILF!I3</f>
        <v>Notebook 15"</v>
      </c>
    </row>
    <row r="4" spans="1:5" x14ac:dyDescent="0.25">
      <c r="A4" s="9" t="s">
        <v>282</v>
      </c>
      <c r="B4" s="9">
        <f>Mail_Ausscheidung_HILF!F4</f>
        <v>6000123503</v>
      </c>
      <c r="C4" s="9" t="str">
        <f>Mail_Ausscheidung_HILF!G4</f>
        <v>0062198718</v>
      </c>
      <c r="D4" s="9" t="str">
        <f>Mail_Ausscheidung_HILF!H4</f>
        <v>dsds123503</v>
      </c>
      <c r="E4" s="9" t="str">
        <f>Mail_Ausscheidung_HILF!I4</f>
        <v>Notebook 15"</v>
      </c>
    </row>
    <row r="5" spans="1:5" x14ac:dyDescent="0.25">
      <c r="A5" s="9" t="s">
        <v>283</v>
      </c>
      <c r="B5" s="9">
        <f>Mail_Ausscheidung_HILF!F5</f>
        <v>6000123502</v>
      </c>
      <c r="C5" s="9" t="str">
        <f>Mail_Ausscheidung_HILF!G5</f>
        <v>0062198719</v>
      </c>
      <c r="D5" s="9" t="str">
        <f>Mail_Ausscheidung_HILF!H5</f>
        <v>dsds123502</v>
      </c>
      <c r="E5" s="9" t="str">
        <f>Mail_Ausscheidung_HILF!I5</f>
        <v>Notebook 15"</v>
      </c>
    </row>
    <row r="6" spans="1:5" x14ac:dyDescent="0.25">
      <c r="A6" s="9" t="s">
        <v>284</v>
      </c>
      <c r="B6" s="9">
        <f>Mail_Ausscheidung_HILF!F6</f>
        <v>6000123501</v>
      </c>
      <c r="C6" s="9" t="str">
        <f>Mail_Ausscheidung_HILF!G6</f>
        <v>0062198720</v>
      </c>
      <c r="D6" s="9" t="str">
        <f>Mail_Ausscheidung_HILF!H6</f>
        <v>dsds123501</v>
      </c>
      <c r="E6" s="9" t="str">
        <f>Mail_Ausscheidung_HILF!I6</f>
        <v>Notebook 15"</v>
      </c>
    </row>
    <row r="7" spans="1:5" x14ac:dyDescent="0.25">
      <c r="A7" s="9" t="s">
        <v>285</v>
      </c>
      <c r="B7" s="9">
        <f>Mail_Ausscheidung_HILF!F7</f>
        <v>6000123500</v>
      </c>
      <c r="C7" s="9" t="str">
        <f>Mail_Ausscheidung_HILF!G7</f>
        <v>0062198721</v>
      </c>
      <c r="D7" s="9" t="str">
        <f>Mail_Ausscheidung_HILF!H7</f>
        <v>dsds123500</v>
      </c>
      <c r="E7" s="9" t="str">
        <f>Mail_Ausscheidung_HILF!I7</f>
        <v>Notebook 15"</v>
      </c>
    </row>
    <row r="8" spans="1:5" x14ac:dyDescent="0.25">
      <c r="A8" s="9" t="s">
        <v>286</v>
      </c>
      <c r="B8" s="9">
        <f>Mail_Ausscheidung_HILF!F8</f>
        <v>6000123499</v>
      </c>
      <c r="C8" s="9" t="str">
        <f>Mail_Ausscheidung_HILF!G8</f>
        <v>0062198722</v>
      </c>
      <c r="D8" s="9" t="str">
        <f>Mail_Ausscheidung_HILF!H8</f>
        <v>dsds123499</v>
      </c>
      <c r="E8" s="9" t="str">
        <f>Mail_Ausscheidung_HILF!I8</f>
        <v>Notebook 15"</v>
      </c>
    </row>
    <row r="9" spans="1:5" x14ac:dyDescent="0.25">
      <c r="A9" s="9" t="s">
        <v>287</v>
      </c>
      <c r="B9" s="9">
        <f>Mail_Ausscheidung_HILF!F9</f>
        <v>6000123498</v>
      </c>
      <c r="C9" s="9" t="str">
        <f>Mail_Ausscheidung_HILF!G9</f>
        <v>0062198723</v>
      </c>
      <c r="D9" s="9" t="str">
        <f>Mail_Ausscheidung_HILF!H9</f>
        <v>dsds123498</v>
      </c>
      <c r="E9" s="9" t="str">
        <f>Mail_Ausscheidung_HILF!I9</f>
        <v>Notebook 15"</v>
      </c>
    </row>
    <row r="10" spans="1:5" x14ac:dyDescent="0.25">
      <c r="A10" s="9" t="s">
        <v>288</v>
      </c>
      <c r="B10" s="9">
        <f>Mail_Ausscheidung_HILF!F10</f>
        <v>6000123497</v>
      </c>
      <c r="C10" s="9" t="str">
        <f>Mail_Ausscheidung_HILF!G10</f>
        <v>0062198724</v>
      </c>
      <c r="D10" s="9" t="str">
        <f>Mail_Ausscheidung_HILF!H10</f>
        <v>dsds123497</v>
      </c>
      <c r="E10" s="9" t="str">
        <f>Mail_Ausscheidung_HILF!I10</f>
        <v>Notebook 15"</v>
      </c>
    </row>
    <row r="11" spans="1:5" x14ac:dyDescent="0.25">
      <c r="A11" s="9" t="s">
        <v>289</v>
      </c>
      <c r="B11" s="9">
        <f>Mail_Ausscheidung_HILF!F11</f>
        <v>6000123496</v>
      </c>
      <c r="C11" s="9" t="str">
        <f>Mail_Ausscheidung_HILF!G11</f>
        <v>0062198725</v>
      </c>
      <c r="D11" s="9" t="str">
        <f>Mail_Ausscheidung_HILF!H11</f>
        <v>dsds123496</v>
      </c>
      <c r="E11" s="9" t="str">
        <f>Mail_Ausscheidung_HILF!I11</f>
        <v>Notebook 15"</v>
      </c>
    </row>
    <row r="12" spans="1:5" x14ac:dyDescent="0.25">
      <c r="A12" s="9" t="s">
        <v>290</v>
      </c>
      <c r="B12" s="9">
        <f>Mail_Ausscheidung_HILF!F12</f>
        <v>6000123495</v>
      </c>
      <c r="C12" s="9" t="str">
        <f>Mail_Ausscheidung_HILF!G12</f>
        <v>0062198726</v>
      </c>
      <c r="D12" s="9" t="str">
        <f>Mail_Ausscheidung_HILF!H12</f>
        <v>dsds123495</v>
      </c>
      <c r="E12" s="9" t="str">
        <f>Mail_Ausscheidung_HILF!I12</f>
        <v>Notebook 15"</v>
      </c>
    </row>
    <row r="13" spans="1:5" x14ac:dyDescent="0.25">
      <c r="A13" s="9" t="s">
        <v>291</v>
      </c>
      <c r="B13" s="9">
        <f>Mail_Ausscheidung_HILF!F13</f>
        <v>6000123494</v>
      </c>
      <c r="C13" s="9" t="str">
        <f>Mail_Ausscheidung_HILF!G13</f>
        <v>0062198727</v>
      </c>
      <c r="D13" s="9" t="str">
        <f>Mail_Ausscheidung_HILF!H13</f>
        <v>dsds123494</v>
      </c>
      <c r="E13" s="9" t="str">
        <f>Mail_Ausscheidung_HILF!I13</f>
        <v>Notebook 15"</v>
      </c>
    </row>
    <row r="14" spans="1:5" x14ac:dyDescent="0.25">
      <c r="A14" s="9" t="s">
        <v>292</v>
      </c>
      <c r="B14" s="9">
        <f>Mail_Ausscheidung_HILF!F14</f>
        <v>6000123493</v>
      </c>
      <c r="C14" s="9" t="str">
        <f>Mail_Ausscheidung_HILF!G14</f>
        <v>0062198728</v>
      </c>
      <c r="D14" s="9" t="str">
        <f>Mail_Ausscheidung_HILF!H14</f>
        <v>dsds123493</v>
      </c>
      <c r="E14" s="9" t="str">
        <f>Mail_Ausscheidung_HILF!I14</f>
        <v>Notebook 15"</v>
      </c>
    </row>
    <row r="15" spans="1:5" x14ac:dyDescent="0.25">
      <c r="A15" s="9" t="s">
        <v>293</v>
      </c>
      <c r="B15" s="9">
        <f>Mail_Ausscheidung_HILF!F15</f>
        <v>6000123492</v>
      </c>
      <c r="C15" s="9" t="str">
        <f>Mail_Ausscheidung_HILF!G15</f>
        <v>0062198729</v>
      </c>
      <c r="D15" s="9" t="str">
        <f>Mail_Ausscheidung_HILF!H15</f>
        <v>dsds123492</v>
      </c>
      <c r="E15" s="9" t="str">
        <f>Mail_Ausscheidung_HILF!I15</f>
        <v>Notebook 15"</v>
      </c>
    </row>
    <row r="16" spans="1:5" x14ac:dyDescent="0.25">
      <c r="A16" s="9" t="s">
        <v>294</v>
      </c>
      <c r="B16" s="9">
        <f>Mail_Ausscheidung_HILF!F16</f>
        <v>6000123491</v>
      </c>
      <c r="C16" s="9" t="str">
        <f>Mail_Ausscheidung_HILF!G16</f>
        <v>0062198730</v>
      </c>
      <c r="D16" s="9" t="str">
        <f>Mail_Ausscheidung_HILF!H16</f>
        <v>dsds123491</v>
      </c>
      <c r="E16" s="9" t="str">
        <f>Mail_Ausscheidung_HILF!I16</f>
        <v>Notebook 15"</v>
      </c>
    </row>
    <row r="17" spans="1:5" x14ac:dyDescent="0.25">
      <c r="A17" s="9" t="s">
        <v>295</v>
      </c>
      <c r="B17" s="9">
        <f>Mail_Ausscheidung_HILF!F17</f>
        <v>6000123490</v>
      </c>
      <c r="C17" s="9" t="str">
        <f>Mail_Ausscheidung_HILF!G17</f>
        <v>0062198731</v>
      </c>
      <c r="D17" s="9" t="str">
        <f>Mail_Ausscheidung_HILF!H17</f>
        <v>dsds123490</v>
      </c>
      <c r="E17" s="9" t="str">
        <f>Mail_Ausscheidung_HILF!I17</f>
        <v>Notebook 15"</v>
      </c>
    </row>
    <row r="18" spans="1:5" x14ac:dyDescent="0.25">
      <c r="A18" s="9" t="s">
        <v>296</v>
      </c>
      <c r="B18" s="9">
        <f>Mail_Ausscheidung_HILF!F18</f>
        <v>6000123488</v>
      </c>
      <c r="C18" s="9" t="str">
        <f>Mail_Ausscheidung_HILF!G18</f>
        <v>0062198733</v>
      </c>
      <c r="D18" s="9" t="str">
        <f>Mail_Ausscheidung_HILF!H18</f>
        <v>dsds123488</v>
      </c>
      <c r="E18" s="9" t="str">
        <f>Mail_Ausscheidung_HILF!I18</f>
        <v>Notebook 15"</v>
      </c>
    </row>
    <row r="19" spans="1:5" x14ac:dyDescent="0.25">
      <c r="A19" s="9" t="s">
        <v>297</v>
      </c>
      <c r="B19" s="9">
        <f>Mail_Ausscheidung_HILF!F19</f>
        <v>6000123487</v>
      </c>
      <c r="C19" s="9" t="str">
        <f>Mail_Ausscheidung_HILF!G19</f>
        <v>0062198734</v>
      </c>
      <c r="D19" s="9" t="str">
        <f>Mail_Ausscheidung_HILF!H19</f>
        <v>dsds123487</v>
      </c>
      <c r="E19" s="9" t="str">
        <f>Mail_Ausscheidung_HILF!I19</f>
        <v>Notebook 15"</v>
      </c>
    </row>
    <row r="20" spans="1:5" x14ac:dyDescent="0.25">
      <c r="A20" s="9" t="s">
        <v>298</v>
      </c>
      <c r="B20" s="9">
        <f>Mail_Ausscheidung_HILF!F20</f>
        <v>6000123486</v>
      </c>
      <c r="C20" s="9" t="str">
        <f>Mail_Ausscheidung_HILF!G20</f>
        <v>0062198735</v>
      </c>
      <c r="D20" s="9" t="str">
        <f>Mail_Ausscheidung_HILF!H20</f>
        <v>dsds123486</v>
      </c>
      <c r="E20" s="9" t="str">
        <f>Mail_Ausscheidung_HILF!I20</f>
        <v>Notebook 15"</v>
      </c>
    </row>
    <row r="21" spans="1:5" x14ac:dyDescent="0.25">
      <c r="A21" s="9" t="s">
        <v>299</v>
      </c>
      <c r="B21" s="9">
        <f>Mail_Ausscheidung_HILF!F21</f>
        <v>6000123485</v>
      </c>
      <c r="C21" s="9" t="str">
        <f>Mail_Ausscheidung_HILF!G21</f>
        <v>0062198736</v>
      </c>
      <c r="D21" s="9" t="str">
        <f>Mail_Ausscheidung_HILF!H21</f>
        <v>dsds123485</v>
      </c>
      <c r="E21" s="9" t="str">
        <f>Mail_Ausscheidung_HILF!I21</f>
        <v>Notebook 15"</v>
      </c>
    </row>
    <row r="22" spans="1:5" x14ac:dyDescent="0.25">
      <c r="A22" s="9" t="s">
        <v>300</v>
      </c>
      <c r="B22" s="9">
        <f>Mail_Ausscheidung_HILF!F22</f>
        <v>6000123484</v>
      </c>
      <c r="C22" s="9" t="str">
        <f>Mail_Ausscheidung_HILF!G22</f>
        <v>0062198737</v>
      </c>
      <c r="D22" s="9" t="str">
        <f>Mail_Ausscheidung_HILF!H22</f>
        <v>dsds123484</v>
      </c>
      <c r="E22" s="9" t="str">
        <f>Mail_Ausscheidung_HILF!I22</f>
        <v>Notebook 15"</v>
      </c>
    </row>
    <row r="23" spans="1:5" x14ac:dyDescent="0.25">
      <c r="A23" s="9" t="s">
        <v>301</v>
      </c>
      <c r="B23" s="9">
        <f>Mail_Ausscheidung_HILF!F23</f>
        <v>6000123483</v>
      </c>
      <c r="C23" s="9" t="str">
        <f>Mail_Ausscheidung_HILF!G23</f>
        <v>0062198738</v>
      </c>
      <c r="D23" s="9" t="str">
        <f>Mail_Ausscheidung_HILF!H23</f>
        <v>dsds123483</v>
      </c>
      <c r="E23" s="9" t="str">
        <f>Mail_Ausscheidung_HILF!I23</f>
        <v>Notebook 15"</v>
      </c>
    </row>
    <row r="24" spans="1:5" x14ac:dyDescent="0.25">
      <c r="A24" s="9" t="s">
        <v>302</v>
      </c>
      <c r="B24" s="9">
        <f>Mail_Ausscheidung_HILF!F24</f>
        <v>6000123482</v>
      </c>
      <c r="C24" s="9" t="str">
        <f>Mail_Ausscheidung_HILF!G24</f>
        <v>0062198739</v>
      </c>
      <c r="D24" s="9" t="str">
        <f>Mail_Ausscheidung_HILF!H24</f>
        <v>dsds123482</v>
      </c>
      <c r="E24" s="9" t="str">
        <f>Mail_Ausscheidung_HILF!I24</f>
        <v>Notebook 15"</v>
      </c>
    </row>
    <row r="25" spans="1:5" x14ac:dyDescent="0.25">
      <c r="A25" s="9" t="s">
        <v>303</v>
      </c>
      <c r="B25" s="9">
        <f>Mail_Ausscheidung_HILF!F25</f>
        <v>6000123481</v>
      </c>
      <c r="C25" s="9" t="str">
        <f>Mail_Ausscheidung_HILF!G25</f>
        <v>0062198740</v>
      </c>
      <c r="D25" s="9" t="str">
        <f>Mail_Ausscheidung_HILF!H25</f>
        <v>dsds123481</v>
      </c>
      <c r="E25" s="9" t="str">
        <f>Mail_Ausscheidung_HILF!I25</f>
        <v>Notebook 15"</v>
      </c>
    </row>
    <row r="26" spans="1:5" x14ac:dyDescent="0.25">
      <c r="A26" s="9" t="s">
        <v>304</v>
      </c>
      <c r="B26" s="9">
        <f>Mail_Ausscheidung_HILF!F26</f>
        <v>6000123480</v>
      </c>
      <c r="C26" s="9" t="str">
        <f>Mail_Ausscheidung_HILF!G26</f>
        <v>0062198741</v>
      </c>
      <c r="D26" s="9" t="str">
        <f>Mail_Ausscheidung_HILF!H26</f>
        <v>dsds123480</v>
      </c>
      <c r="E26" s="9" t="str">
        <f>Mail_Ausscheidung_HILF!I26</f>
        <v>Notebook 15"</v>
      </c>
    </row>
    <row r="27" spans="1:5" x14ac:dyDescent="0.25">
      <c r="A27" s="9" t="s">
        <v>305</v>
      </c>
      <c r="B27" s="9">
        <f>Mail_Ausscheidung_HILF!F27</f>
        <v>6000123479</v>
      </c>
      <c r="C27" s="9" t="str">
        <f>Mail_Ausscheidung_HILF!G27</f>
        <v>0062198742</v>
      </c>
      <c r="D27" s="9" t="str">
        <f>Mail_Ausscheidung_HILF!H27</f>
        <v>dsds123479</v>
      </c>
      <c r="E27" s="9" t="str">
        <f>Mail_Ausscheidung_HILF!I27</f>
        <v>Notebook 15"</v>
      </c>
    </row>
    <row r="28" spans="1:5" x14ac:dyDescent="0.25">
      <c r="A28" s="9" t="s">
        <v>306</v>
      </c>
      <c r="B28" s="9">
        <f>Mail_Ausscheidung_HILF!F28</f>
        <v>6000123478</v>
      </c>
      <c r="C28" s="9" t="str">
        <f>Mail_Ausscheidung_HILF!G28</f>
        <v>0062198743</v>
      </c>
      <c r="D28" s="9" t="str">
        <f>Mail_Ausscheidung_HILF!H28</f>
        <v>dsds123478</v>
      </c>
      <c r="E28" s="9" t="str">
        <f>Mail_Ausscheidung_HILF!I28</f>
        <v>Notebook 15"</v>
      </c>
    </row>
    <row r="29" spans="1:5" x14ac:dyDescent="0.25">
      <c r="A29" s="9" t="s">
        <v>307</v>
      </c>
      <c r="B29" s="9">
        <f>Mail_Ausscheidung_HILF!F29</f>
        <v>6000123477</v>
      </c>
      <c r="C29" s="9" t="str">
        <f>Mail_Ausscheidung_HILF!G29</f>
        <v>0062198744</v>
      </c>
      <c r="D29" s="9" t="str">
        <f>Mail_Ausscheidung_HILF!H29</f>
        <v>dsds123477</v>
      </c>
      <c r="E29" s="9" t="str">
        <f>Mail_Ausscheidung_HILF!I29</f>
        <v>Notebook 15"</v>
      </c>
    </row>
    <row r="30" spans="1:5" x14ac:dyDescent="0.25">
      <c r="A30" s="9" t="s">
        <v>308</v>
      </c>
      <c r="B30" s="9">
        <f>Mail_Ausscheidung_HILF!F30</f>
        <v>6000123476</v>
      </c>
      <c r="C30" s="9" t="str">
        <f>Mail_Ausscheidung_HILF!G30</f>
        <v>0062198745</v>
      </c>
      <c r="D30" s="9" t="str">
        <f>Mail_Ausscheidung_HILF!H30</f>
        <v>dsds123476</v>
      </c>
      <c r="E30" s="9" t="str">
        <f>Mail_Ausscheidung_HILF!I30</f>
        <v>Notebook 15"</v>
      </c>
    </row>
    <row r="31" spans="1:5" x14ac:dyDescent="0.25">
      <c r="A31" s="9" t="s">
        <v>309</v>
      </c>
      <c r="B31" s="9">
        <f>Mail_Ausscheidung_HILF!F31</f>
        <v>6000123475</v>
      </c>
      <c r="C31" s="9" t="str">
        <f>Mail_Ausscheidung_HILF!G31</f>
        <v>0062198746</v>
      </c>
      <c r="D31" s="9" t="str">
        <f>Mail_Ausscheidung_HILF!H31</f>
        <v>dsds123475</v>
      </c>
      <c r="E31" s="9" t="str">
        <f>Mail_Ausscheidung_HILF!I31</f>
        <v>Notebook 15"</v>
      </c>
    </row>
    <row r="32" spans="1:5" x14ac:dyDescent="0.25">
      <c r="A32" s="9" t="s">
        <v>310</v>
      </c>
      <c r="B32" s="9">
        <f>Mail_Ausscheidung_HILF!F32</f>
        <v>6000123473</v>
      </c>
      <c r="C32" s="9" t="str">
        <f>Mail_Ausscheidung_HILF!G32</f>
        <v>0062198748</v>
      </c>
      <c r="D32" s="9" t="str">
        <f>Mail_Ausscheidung_HILF!H32</f>
        <v>dsds123473</v>
      </c>
      <c r="E32" s="9" t="str">
        <f>Mail_Ausscheidung_HILF!I32</f>
        <v>Notebook 15"</v>
      </c>
    </row>
    <row r="33" spans="1:5" x14ac:dyDescent="0.25">
      <c r="A33" s="9" t="s">
        <v>311</v>
      </c>
      <c r="B33" s="9">
        <f>Mail_Ausscheidung_HILF!F33</f>
        <v>6000123472</v>
      </c>
      <c r="C33" s="9" t="str">
        <f>Mail_Ausscheidung_HILF!G33</f>
        <v>0062198749</v>
      </c>
      <c r="D33" s="9" t="str">
        <f>Mail_Ausscheidung_HILF!H33</f>
        <v>dsds123472</v>
      </c>
      <c r="E33" s="9" t="str">
        <f>Mail_Ausscheidung_HILF!I33</f>
        <v>Notebook 15"</v>
      </c>
    </row>
    <row r="34" spans="1:5" x14ac:dyDescent="0.25">
      <c r="A34" s="9" t="s">
        <v>312</v>
      </c>
      <c r="B34" s="9">
        <f>Mail_Ausscheidung_HILF!F34</f>
        <v>6000123471</v>
      </c>
      <c r="C34" s="9" t="str">
        <f>Mail_Ausscheidung_HILF!G34</f>
        <v>0062198750</v>
      </c>
      <c r="D34" s="9" t="str">
        <f>Mail_Ausscheidung_HILF!H34</f>
        <v>dsds123471</v>
      </c>
      <c r="E34" s="9" t="str">
        <f>Mail_Ausscheidung_HILF!I34</f>
        <v>Notebook 15"</v>
      </c>
    </row>
    <row r="35" spans="1:5" x14ac:dyDescent="0.25">
      <c r="A35" s="9" t="s">
        <v>313</v>
      </c>
      <c r="B35" s="9">
        <f>Mail_Ausscheidung_HILF!F35</f>
        <v>6000123470</v>
      </c>
      <c r="C35" s="9" t="str">
        <f>Mail_Ausscheidung_HILF!G35</f>
        <v>0062198751</v>
      </c>
      <c r="D35" s="9" t="str">
        <f>Mail_Ausscheidung_HILF!H35</f>
        <v>dsds123470</v>
      </c>
      <c r="E35" s="9" t="str">
        <f>Mail_Ausscheidung_HILF!I35</f>
        <v>Notebook 15"</v>
      </c>
    </row>
    <row r="36" spans="1:5" x14ac:dyDescent="0.25">
      <c r="A36" s="9" t="s">
        <v>314</v>
      </c>
      <c r="B36" s="9">
        <f>Mail_Ausscheidung_HILF!F36</f>
        <v>6000123469</v>
      </c>
      <c r="C36" s="9" t="str">
        <f>Mail_Ausscheidung_HILF!G36</f>
        <v>0062198752</v>
      </c>
      <c r="D36" s="9" t="str">
        <f>Mail_Ausscheidung_HILF!H36</f>
        <v>dsds123469</v>
      </c>
      <c r="E36" s="9" t="str">
        <f>Mail_Ausscheidung_HILF!I36</f>
        <v>Notebook 15"</v>
      </c>
    </row>
    <row r="37" spans="1:5" x14ac:dyDescent="0.25">
      <c r="A37" s="9" t="s">
        <v>315</v>
      </c>
      <c r="B37" s="9">
        <f>Mail_Ausscheidung_HILF!F37</f>
        <v>6000123468</v>
      </c>
      <c r="C37" s="9" t="str">
        <f>Mail_Ausscheidung_HILF!G37</f>
        <v>0062198753</v>
      </c>
      <c r="D37" s="9" t="str">
        <f>Mail_Ausscheidung_HILF!H37</f>
        <v>dsds123468</v>
      </c>
      <c r="E37" s="9" t="str">
        <f>Mail_Ausscheidung_HILF!I37</f>
        <v>Notebook 15"</v>
      </c>
    </row>
    <row r="38" spans="1:5" x14ac:dyDescent="0.25">
      <c r="A38" s="9" t="s">
        <v>316</v>
      </c>
      <c r="B38" s="9">
        <f>Mail_Ausscheidung_HILF!F38</f>
        <v>6000123467</v>
      </c>
      <c r="C38" s="9" t="str">
        <f>Mail_Ausscheidung_HILF!G38</f>
        <v>0062198754</v>
      </c>
      <c r="D38" s="9" t="str">
        <f>Mail_Ausscheidung_HILF!H38</f>
        <v>dsds123467</v>
      </c>
      <c r="E38" s="9" t="str">
        <f>Mail_Ausscheidung_HILF!I38</f>
        <v>Notebook 15"</v>
      </c>
    </row>
    <row r="39" spans="1:5" x14ac:dyDescent="0.25">
      <c r="A39" s="9" t="s">
        <v>317</v>
      </c>
      <c r="B39" s="9">
        <f>Mail_Ausscheidung_HILF!F39</f>
        <v>6000123466</v>
      </c>
      <c r="C39" s="9" t="str">
        <f>Mail_Ausscheidung_HILF!G39</f>
        <v>0062198755</v>
      </c>
      <c r="D39" s="9" t="str">
        <f>Mail_Ausscheidung_HILF!H39</f>
        <v>dsds123466</v>
      </c>
      <c r="E39" s="9" t="str">
        <f>Mail_Ausscheidung_HILF!I39</f>
        <v>Notebook 15"</v>
      </c>
    </row>
    <row r="40" spans="1:5" x14ac:dyDescent="0.25">
      <c r="A40" s="9" t="s">
        <v>318</v>
      </c>
      <c r="B40" s="9">
        <f>Mail_Ausscheidung_HILF!F40</f>
        <v>6000123465</v>
      </c>
      <c r="C40" s="9" t="str">
        <f>Mail_Ausscheidung_HILF!G40</f>
        <v>0062198756</v>
      </c>
      <c r="D40" s="9" t="str">
        <f>Mail_Ausscheidung_HILF!H40</f>
        <v>dsds123465</v>
      </c>
      <c r="E40" s="9" t="str">
        <f>Mail_Ausscheidung_HILF!I40</f>
        <v>Notebook 15"</v>
      </c>
    </row>
    <row r="41" spans="1:5" x14ac:dyDescent="0.25">
      <c r="A41" s="9" t="s">
        <v>319</v>
      </c>
      <c r="B41" s="9">
        <f>Mail_Ausscheidung_HILF!F41</f>
        <v>6000123464</v>
      </c>
      <c r="C41" s="9" t="str">
        <f>Mail_Ausscheidung_HILF!G41</f>
        <v>0062198757</v>
      </c>
      <c r="D41" s="9" t="str">
        <f>Mail_Ausscheidung_HILF!H41</f>
        <v>dsds123464</v>
      </c>
      <c r="E41" s="9" t="str">
        <f>Mail_Ausscheidung_HILF!I41</f>
        <v>Notebook 15"</v>
      </c>
    </row>
    <row r="42" spans="1:5" x14ac:dyDescent="0.25">
      <c r="A42" s="9" t="s">
        <v>320</v>
      </c>
      <c r="B42" s="9">
        <f>Mail_Ausscheidung_HILF!F42</f>
        <v>6000123463</v>
      </c>
      <c r="C42" s="9" t="str">
        <f>Mail_Ausscheidung_HILF!G42</f>
        <v>0062198758</v>
      </c>
      <c r="D42" s="9" t="str">
        <f>Mail_Ausscheidung_HILF!H42</f>
        <v>dsds123463</v>
      </c>
      <c r="E42" s="9" t="str">
        <f>Mail_Ausscheidung_HILF!I42</f>
        <v>Notebook 15"</v>
      </c>
    </row>
    <row r="43" spans="1:5" x14ac:dyDescent="0.25">
      <c r="A43" s="9" t="s">
        <v>321</v>
      </c>
      <c r="B43" s="9">
        <f>Mail_Ausscheidung_HILF!F43</f>
        <v>6000123462</v>
      </c>
      <c r="C43" s="9" t="str">
        <f>Mail_Ausscheidung_HILF!G43</f>
        <v>0062198759</v>
      </c>
      <c r="D43" s="9" t="str">
        <f>Mail_Ausscheidung_HILF!H43</f>
        <v>dsds123462</v>
      </c>
      <c r="E43" s="9" t="str">
        <f>Mail_Ausscheidung_HILF!I43</f>
        <v>Notebook 15"</v>
      </c>
    </row>
    <row r="44" spans="1:5" x14ac:dyDescent="0.25">
      <c r="A44" s="9" t="s">
        <v>322</v>
      </c>
      <c r="B44" s="9">
        <f>Mail_Ausscheidung_HILF!F44</f>
        <v>6000123461</v>
      </c>
      <c r="C44" s="9" t="str">
        <f>Mail_Ausscheidung_HILF!G44</f>
        <v>0062198760</v>
      </c>
      <c r="D44" s="9" t="str">
        <f>Mail_Ausscheidung_HILF!H44</f>
        <v>dsds123461</v>
      </c>
      <c r="E44" s="9" t="str">
        <f>Mail_Ausscheidung_HILF!I44</f>
        <v>Notebook 15"</v>
      </c>
    </row>
    <row r="45" spans="1:5" x14ac:dyDescent="0.25">
      <c r="A45" s="9" t="s">
        <v>323</v>
      </c>
      <c r="B45" s="9">
        <f>Mail_Ausscheidung_HILF!F45</f>
        <v>6000123460</v>
      </c>
      <c r="C45" s="9" t="str">
        <f>Mail_Ausscheidung_HILF!G45</f>
        <v>0062198761</v>
      </c>
      <c r="D45" s="9" t="str">
        <f>Mail_Ausscheidung_HILF!H45</f>
        <v>dsds123460</v>
      </c>
      <c r="E45" s="9" t="str">
        <f>Mail_Ausscheidung_HILF!I45</f>
        <v>Notebook 15"</v>
      </c>
    </row>
    <row r="46" spans="1:5" x14ac:dyDescent="0.25">
      <c r="A46" s="9" t="s">
        <v>324</v>
      </c>
      <c r="B46" s="9">
        <f>Mail_Ausscheidung_HILF!F46</f>
        <v>6000123459</v>
      </c>
      <c r="C46" s="9" t="str">
        <f>Mail_Ausscheidung_HILF!G46</f>
        <v>0062198762</v>
      </c>
      <c r="D46" s="9" t="str">
        <f>Mail_Ausscheidung_HILF!H46</f>
        <v>dsds123459</v>
      </c>
      <c r="E46" s="9" t="str">
        <f>Mail_Ausscheidung_HILF!I46</f>
        <v>Notebook 15"</v>
      </c>
    </row>
    <row r="47" spans="1:5" x14ac:dyDescent="0.25">
      <c r="A47" s="9" t="s">
        <v>325</v>
      </c>
      <c r="B47" s="9">
        <f>Mail_Ausscheidung_HILF!F47</f>
        <v>6000123458</v>
      </c>
      <c r="C47" s="9" t="str">
        <f>Mail_Ausscheidung_HILF!G47</f>
        <v>0062198763</v>
      </c>
      <c r="D47" s="9" t="str">
        <f>Mail_Ausscheidung_HILF!H47</f>
        <v>dsds123458</v>
      </c>
      <c r="E47" s="9" t="str">
        <f>Mail_Ausscheidung_HILF!I47</f>
        <v>Notebook 15"</v>
      </c>
    </row>
    <row r="48" spans="1:5" x14ac:dyDescent="0.25">
      <c r="A48" s="9" t="s">
        <v>326</v>
      </c>
      <c r="B48" s="9">
        <f>Mail_Ausscheidung_HILF!F48</f>
        <v>6000123457</v>
      </c>
      <c r="C48" s="9" t="str">
        <f>Mail_Ausscheidung_HILF!G48</f>
        <v>0062198764</v>
      </c>
      <c r="D48" s="9" t="str">
        <f>Mail_Ausscheidung_HILF!H48</f>
        <v>dsds123457</v>
      </c>
      <c r="E48" s="9" t="str">
        <f>Mail_Ausscheidung_HILF!I48</f>
        <v>Notebook 15"</v>
      </c>
    </row>
    <row r="49" spans="1:5" x14ac:dyDescent="0.25">
      <c r="A49" s="9" t="s">
        <v>327</v>
      </c>
      <c r="B49" s="9">
        <f>Mail_Ausscheidung_HILF!F49</f>
        <v>6000123456</v>
      </c>
      <c r="C49" s="9" t="str">
        <f>Mail_Ausscheidung_HILF!G49</f>
        <v>0062198765</v>
      </c>
      <c r="D49" s="9" t="str">
        <f>Mail_Ausscheidung_HILF!H49</f>
        <v>dsds123456</v>
      </c>
      <c r="E49" s="9" t="str">
        <f>Mail_Ausscheidung_HILF!I49</f>
        <v>Notebook 15"</v>
      </c>
    </row>
    <row r="50" spans="1:5" x14ac:dyDescent="0.25">
      <c r="A50" s="9" t="s">
        <v>328</v>
      </c>
      <c r="B50" s="9" t="str">
        <f>Mail_Ausscheidung_HILF!F50</f>
        <v/>
      </c>
      <c r="C50" s="9" t="str">
        <f>Mail_Ausscheidung_HILF!G50</f>
        <v/>
      </c>
      <c r="D50" s="9" t="str">
        <f>Mail_Ausscheidung_HILF!H50</f>
        <v/>
      </c>
      <c r="E50" s="9" t="str">
        <f>Mail_Ausscheidung_HILF!I50</f>
        <v/>
      </c>
    </row>
    <row r="51" spans="1:5" x14ac:dyDescent="0.25">
      <c r="A51" s="9" t="s">
        <v>329</v>
      </c>
      <c r="B51" s="9" t="str">
        <f>Mail_Ausscheidung_HILF!F51</f>
        <v/>
      </c>
      <c r="C51" s="9" t="str">
        <f>Mail_Ausscheidung_HILF!G51</f>
        <v/>
      </c>
      <c r="D51" s="9" t="str">
        <f>Mail_Ausscheidung_HILF!H51</f>
        <v/>
      </c>
      <c r="E51" s="9" t="str">
        <f>Mail_Ausscheidung_HILF!I51</f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I51"/>
  <sheetViews>
    <sheetView topLeftCell="A25" workbookViewId="0">
      <selection activeCell="A25" sqref="A1:XFD1048576"/>
    </sheetView>
  </sheetViews>
  <sheetFormatPr defaultColWidth="11.54296875" defaultRowHeight="12.5" x14ac:dyDescent="0.25"/>
  <cols>
    <col min="1" max="1" width="16.26953125" style="9" bestFit="1" customWidth="1"/>
    <col min="2" max="2" width="14" style="9" bestFit="1" customWidth="1"/>
    <col min="3" max="3" width="10.7265625" style="9" bestFit="1" customWidth="1"/>
    <col min="4" max="4" width="15.26953125" style="9" bestFit="1" customWidth="1"/>
    <col min="5" max="5" width="11.54296875" style="9"/>
    <col min="6" max="6" width="16.26953125" style="9" bestFit="1" customWidth="1"/>
    <col min="7" max="7" width="14" style="9" bestFit="1" customWidth="1"/>
    <col min="8" max="8" width="10.7265625" style="9" bestFit="1" customWidth="1"/>
    <col min="9" max="9" width="11.7265625" style="9" bestFit="1" customWidth="1"/>
    <col min="10" max="16384" width="11.54296875" style="9"/>
  </cols>
  <sheetData>
    <row r="1" spans="1:9" ht="25" x14ac:dyDescent="0.25">
      <c r="A1" s="10" t="s">
        <v>0</v>
      </c>
      <c r="B1" s="10" t="s">
        <v>1</v>
      </c>
      <c r="C1" s="11" t="s">
        <v>231</v>
      </c>
      <c r="D1" s="10" t="s">
        <v>2</v>
      </c>
      <c r="F1" s="10" t="s">
        <v>0</v>
      </c>
      <c r="G1" s="10" t="s">
        <v>1</v>
      </c>
      <c r="H1" s="11" t="s">
        <v>231</v>
      </c>
      <c r="I1" s="10" t="s">
        <v>2</v>
      </c>
    </row>
    <row r="2" spans="1:9" x14ac:dyDescent="0.25">
      <c r="A2" s="7">
        <v>6000123505</v>
      </c>
      <c r="B2" s="19" t="s">
        <v>381</v>
      </c>
      <c r="C2" s="17" t="s">
        <v>428</v>
      </c>
      <c r="D2" s="7" t="s">
        <v>251</v>
      </c>
      <c r="F2" s="9">
        <f>IF($B2="","",A2)</f>
        <v>6000123505</v>
      </c>
      <c r="G2" s="9" t="str">
        <f t="shared" ref="G2:I2" si="0">IF($B2="","",B2)</f>
        <v>0062198716</v>
      </c>
      <c r="H2" s="9" t="str">
        <f t="shared" si="0"/>
        <v>dsds123505</v>
      </c>
      <c r="I2" s="9" t="str">
        <f t="shared" si="0"/>
        <v>Notebook 15"</v>
      </c>
    </row>
    <row r="3" spans="1:9" x14ac:dyDescent="0.25">
      <c r="A3" s="7">
        <v>6000123504</v>
      </c>
      <c r="B3" s="19" t="s">
        <v>380</v>
      </c>
      <c r="C3" s="17" t="s">
        <v>427</v>
      </c>
      <c r="D3" s="7" t="s">
        <v>251</v>
      </c>
      <c r="F3" s="9">
        <f t="shared" ref="F3:F51" si="1">IF($B3="","",A3)</f>
        <v>6000123504</v>
      </c>
      <c r="G3" s="9" t="str">
        <f t="shared" ref="G3:G51" si="2">IF($B3="","",B3)</f>
        <v>0062198717</v>
      </c>
      <c r="H3" s="9" t="str">
        <f t="shared" ref="H3:H51" si="3">IF($B3="","",C3)</f>
        <v>dsds123504</v>
      </c>
      <c r="I3" s="9" t="str">
        <f t="shared" ref="I3:I51" si="4">IF($B3="","",D3)</f>
        <v>Notebook 15"</v>
      </c>
    </row>
    <row r="4" spans="1:9" x14ac:dyDescent="0.25">
      <c r="A4" s="7">
        <v>6000123503</v>
      </c>
      <c r="B4" s="19" t="s">
        <v>379</v>
      </c>
      <c r="C4" s="17" t="s">
        <v>426</v>
      </c>
      <c r="D4" s="7" t="s">
        <v>251</v>
      </c>
      <c r="F4" s="9">
        <f t="shared" si="1"/>
        <v>6000123503</v>
      </c>
      <c r="G4" s="9" t="str">
        <f t="shared" si="2"/>
        <v>0062198718</v>
      </c>
      <c r="H4" s="9" t="str">
        <f t="shared" si="3"/>
        <v>dsds123503</v>
      </c>
      <c r="I4" s="9" t="str">
        <f t="shared" si="4"/>
        <v>Notebook 15"</v>
      </c>
    </row>
    <row r="5" spans="1:9" x14ac:dyDescent="0.25">
      <c r="A5" s="7">
        <v>6000123502</v>
      </c>
      <c r="B5" s="19" t="s">
        <v>378</v>
      </c>
      <c r="C5" s="17" t="s">
        <v>425</v>
      </c>
      <c r="D5" s="7" t="s">
        <v>251</v>
      </c>
      <c r="F5" s="9">
        <f t="shared" si="1"/>
        <v>6000123502</v>
      </c>
      <c r="G5" s="9" t="str">
        <f t="shared" si="2"/>
        <v>0062198719</v>
      </c>
      <c r="H5" s="9" t="str">
        <f t="shared" si="3"/>
        <v>dsds123502</v>
      </c>
      <c r="I5" s="9" t="str">
        <f t="shared" si="4"/>
        <v>Notebook 15"</v>
      </c>
    </row>
    <row r="6" spans="1:9" x14ac:dyDescent="0.25">
      <c r="A6" s="7">
        <v>6000123501</v>
      </c>
      <c r="B6" s="19" t="s">
        <v>377</v>
      </c>
      <c r="C6" s="17" t="s">
        <v>424</v>
      </c>
      <c r="D6" s="7" t="s">
        <v>251</v>
      </c>
      <c r="F6" s="9">
        <f t="shared" si="1"/>
        <v>6000123501</v>
      </c>
      <c r="G6" s="9" t="str">
        <f t="shared" si="2"/>
        <v>0062198720</v>
      </c>
      <c r="H6" s="9" t="str">
        <f t="shared" si="3"/>
        <v>dsds123501</v>
      </c>
      <c r="I6" s="9" t="str">
        <f t="shared" si="4"/>
        <v>Notebook 15"</v>
      </c>
    </row>
    <row r="7" spans="1:9" x14ac:dyDescent="0.25">
      <c r="A7" s="7">
        <v>6000123500</v>
      </c>
      <c r="B7" s="19" t="s">
        <v>376</v>
      </c>
      <c r="C7" s="17" t="s">
        <v>423</v>
      </c>
      <c r="D7" s="7" t="s">
        <v>251</v>
      </c>
      <c r="F7" s="9">
        <f t="shared" si="1"/>
        <v>6000123500</v>
      </c>
      <c r="G7" s="9" t="str">
        <f t="shared" si="2"/>
        <v>0062198721</v>
      </c>
      <c r="H7" s="9" t="str">
        <f t="shared" si="3"/>
        <v>dsds123500</v>
      </c>
      <c r="I7" s="9" t="str">
        <f t="shared" si="4"/>
        <v>Notebook 15"</v>
      </c>
    </row>
    <row r="8" spans="1:9" x14ac:dyDescent="0.25">
      <c r="A8" s="7">
        <v>6000123499</v>
      </c>
      <c r="B8" s="19" t="s">
        <v>375</v>
      </c>
      <c r="C8" s="17" t="s">
        <v>422</v>
      </c>
      <c r="D8" s="7" t="s">
        <v>251</v>
      </c>
      <c r="F8" s="9">
        <f t="shared" si="1"/>
        <v>6000123499</v>
      </c>
      <c r="G8" s="9" t="str">
        <f t="shared" si="2"/>
        <v>0062198722</v>
      </c>
      <c r="H8" s="9" t="str">
        <f t="shared" si="3"/>
        <v>dsds123499</v>
      </c>
      <c r="I8" s="9" t="str">
        <f t="shared" si="4"/>
        <v>Notebook 15"</v>
      </c>
    </row>
    <row r="9" spans="1:9" x14ac:dyDescent="0.25">
      <c r="A9" s="7">
        <v>6000123498</v>
      </c>
      <c r="B9" s="19" t="s">
        <v>374</v>
      </c>
      <c r="C9" s="17" t="s">
        <v>421</v>
      </c>
      <c r="D9" s="7" t="s">
        <v>251</v>
      </c>
      <c r="F9" s="9">
        <f t="shared" si="1"/>
        <v>6000123498</v>
      </c>
      <c r="G9" s="9" t="str">
        <f t="shared" si="2"/>
        <v>0062198723</v>
      </c>
      <c r="H9" s="9" t="str">
        <f t="shared" si="3"/>
        <v>dsds123498</v>
      </c>
      <c r="I9" s="9" t="str">
        <f t="shared" si="4"/>
        <v>Notebook 15"</v>
      </c>
    </row>
    <row r="10" spans="1:9" x14ac:dyDescent="0.25">
      <c r="A10" s="7">
        <v>6000123497</v>
      </c>
      <c r="B10" s="19" t="s">
        <v>373</v>
      </c>
      <c r="C10" s="17" t="s">
        <v>420</v>
      </c>
      <c r="D10" s="7" t="s">
        <v>251</v>
      </c>
      <c r="F10" s="9">
        <f t="shared" si="1"/>
        <v>6000123497</v>
      </c>
      <c r="G10" s="9" t="str">
        <f t="shared" si="2"/>
        <v>0062198724</v>
      </c>
      <c r="H10" s="9" t="str">
        <f t="shared" si="3"/>
        <v>dsds123497</v>
      </c>
      <c r="I10" s="9" t="str">
        <f t="shared" si="4"/>
        <v>Notebook 15"</v>
      </c>
    </row>
    <row r="11" spans="1:9" x14ac:dyDescent="0.25">
      <c r="A11" s="7">
        <v>6000123496</v>
      </c>
      <c r="B11" s="19" t="s">
        <v>372</v>
      </c>
      <c r="C11" s="17" t="s">
        <v>419</v>
      </c>
      <c r="D11" s="7" t="s">
        <v>251</v>
      </c>
      <c r="F11" s="9">
        <f t="shared" si="1"/>
        <v>6000123496</v>
      </c>
      <c r="G11" s="9" t="str">
        <f t="shared" si="2"/>
        <v>0062198725</v>
      </c>
      <c r="H11" s="9" t="str">
        <f t="shared" si="3"/>
        <v>dsds123496</v>
      </c>
      <c r="I11" s="9" t="str">
        <f t="shared" si="4"/>
        <v>Notebook 15"</v>
      </c>
    </row>
    <row r="12" spans="1:9" x14ac:dyDescent="0.25">
      <c r="A12" s="7">
        <v>6000123495</v>
      </c>
      <c r="B12" s="19" t="s">
        <v>371</v>
      </c>
      <c r="C12" s="17" t="s">
        <v>418</v>
      </c>
      <c r="D12" s="7" t="s">
        <v>251</v>
      </c>
      <c r="F12" s="9">
        <f t="shared" si="1"/>
        <v>6000123495</v>
      </c>
      <c r="G12" s="9" t="str">
        <f t="shared" si="2"/>
        <v>0062198726</v>
      </c>
      <c r="H12" s="9" t="str">
        <f t="shared" si="3"/>
        <v>dsds123495</v>
      </c>
      <c r="I12" s="9" t="str">
        <f t="shared" si="4"/>
        <v>Notebook 15"</v>
      </c>
    </row>
    <row r="13" spans="1:9" x14ac:dyDescent="0.25">
      <c r="A13" s="7">
        <v>6000123494</v>
      </c>
      <c r="B13" s="19" t="s">
        <v>370</v>
      </c>
      <c r="C13" s="17" t="s">
        <v>417</v>
      </c>
      <c r="D13" s="7" t="s">
        <v>251</v>
      </c>
      <c r="F13" s="9">
        <f t="shared" si="1"/>
        <v>6000123494</v>
      </c>
      <c r="G13" s="9" t="str">
        <f t="shared" si="2"/>
        <v>0062198727</v>
      </c>
      <c r="H13" s="9" t="str">
        <f t="shared" si="3"/>
        <v>dsds123494</v>
      </c>
      <c r="I13" s="9" t="str">
        <f t="shared" si="4"/>
        <v>Notebook 15"</v>
      </c>
    </row>
    <row r="14" spans="1:9" x14ac:dyDescent="0.25">
      <c r="A14" s="7">
        <v>6000123493</v>
      </c>
      <c r="B14" s="19" t="s">
        <v>369</v>
      </c>
      <c r="C14" s="17" t="s">
        <v>416</v>
      </c>
      <c r="D14" s="7" t="s">
        <v>251</v>
      </c>
      <c r="F14" s="9">
        <f t="shared" si="1"/>
        <v>6000123493</v>
      </c>
      <c r="G14" s="9" t="str">
        <f t="shared" si="2"/>
        <v>0062198728</v>
      </c>
      <c r="H14" s="9" t="str">
        <f t="shared" si="3"/>
        <v>dsds123493</v>
      </c>
      <c r="I14" s="9" t="str">
        <f t="shared" si="4"/>
        <v>Notebook 15"</v>
      </c>
    </row>
    <row r="15" spans="1:9" x14ac:dyDescent="0.25">
      <c r="A15" s="7">
        <v>6000123492</v>
      </c>
      <c r="B15" s="19" t="s">
        <v>368</v>
      </c>
      <c r="C15" s="17" t="s">
        <v>415</v>
      </c>
      <c r="D15" s="7" t="s">
        <v>251</v>
      </c>
      <c r="F15" s="9">
        <f t="shared" si="1"/>
        <v>6000123492</v>
      </c>
      <c r="G15" s="9" t="str">
        <f t="shared" si="2"/>
        <v>0062198729</v>
      </c>
      <c r="H15" s="9" t="str">
        <f t="shared" si="3"/>
        <v>dsds123492</v>
      </c>
      <c r="I15" s="9" t="str">
        <f t="shared" si="4"/>
        <v>Notebook 15"</v>
      </c>
    </row>
    <row r="16" spans="1:9" x14ac:dyDescent="0.25">
      <c r="A16" s="7">
        <v>6000123491</v>
      </c>
      <c r="B16" s="19" t="s">
        <v>367</v>
      </c>
      <c r="C16" s="17" t="s">
        <v>414</v>
      </c>
      <c r="D16" s="7" t="s">
        <v>251</v>
      </c>
      <c r="F16" s="9">
        <f t="shared" si="1"/>
        <v>6000123491</v>
      </c>
      <c r="G16" s="9" t="str">
        <f t="shared" si="2"/>
        <v>0062198730</v>
      </c>
      <c r="H16" s="9" t="str">
        <f t="shared" si="3"/>
        <v>dsds123491</v>
      </c>
      <c r="I16" s="9" t="str">
        <f t="shared" si="4"/>
        <v>Notebook 15"</v>
      </c>
    </row>
    <row r="17" spans="1:9" x14ac:dyDescent="0.25">
      <c r="A17" s="7">
        <v>6000123490</v>
      </c>
      <c r="B17" s="19" t="s">
        <v>366</v>
      </c>
      <c r="C17" s="17" t="s">
        <v>413</v>
      </c>
      <c r="D17" s="7" t="s">
        <v>251</v>
      </c>
      <c r="F17" s="9">
        <f t="shared" si="1"/>
        <v>6000123490</v>
      </c>
      <c r="G17" s="9" t="str">
        <f t="shared" si="2"/>
        <v>0062198731</v>
      </c>
      <c r="H17" s="9" t="str">
        <f t="shared" si="3"/>
        <v>dsds123490</v>
      </c>
      <c r="I17" s="9" t="str">
        <f t="shared" si="4"/>
        <v>Notebook 15"</v>
      </c>
    </row>
    <row r="18" spans="1:9" x14ac:dyDescent="0.25">
      <c r="A18" s="7">
        <v>6000123488</v>
      </c>
      <c r="B18" s="19" t="s">
        <v>365</v>
      </c>
      <c r="C18" s="17" t="s">
        <v>412</v>
      </c>
      <c r="D18" s="7" t="s">
        <v>251</v>
      </c>
      <c r="F18" s="9">
        <f t="shared" si="1"/>
        <v>6000123488</v>
      </c>
      <c r="G18" s="9" t="str">
        <f t="shared" si="2"/>
        <v>0062198733</v>
      </c>
      <c r="H18" s="9" t="str">
        <f t="shared" si="3"/>
        <v>dsds123488</v>
      </c>
      <c r="I18" s="9" t="str">
        <f t="shared" si="4"/>
        <v>Notebook 15"</v>
      </c>
    </row>
    <row r="19" spans="1:9" x14ac:dyDescent="0.25">
      <c r="A19" s="7">
        <v>6000123487</v>
      </c>
      <c r="B19" s="19" t="s">
        <v>364</v>
      </c>
      <c r="C19" s="17" t="s">
        <v>411</v>
      </c>
      <c r="D19" s="7" t="s">
        <v>251</v>
      </c>
      <c r="F19" s="9">
        <f t="shared" si="1"/>
        <v>6000123487</v>
      </c>
      <c r="G19" s="9" t="str">
        <f t="shared" si="2"/>
        <v>0062198734</v>
      </c>
      <c r="H19" s="9" t="str">
        <f t="shared" si="3"/>
        <v>dsds123487</v>
      </c>
      <c r="I19" s="9" t="str">
        <f t="shared" si="4"/>
        <v>Notebook 15"</v>
      </c>
    </row>
    <row r="20" spans="1:9" x14ac:dyDescent="0.25">
      <c r="A20" s="7">
        <v>6000123486</v>
      </c>
      <c r="B20" s="19" t="s">
        <v>363</v>
      </c>
      <c r="C20" s="17" t="s">
        <v>410</v>
      </c>
      <c r="D20" s="7" t="s">
        <v>251</v>
      </c>
      <c r="F20" s="9">
        <f t="shared" si="1"/>
        <v>6000123486</v>
      </c>
      <c r="G20" s="9" t="str">
        <f t="shared" si="2"/>
        <v>0062198735</v>
      </c>
      <c r="H20" s="9" t="str">
        <f t="shared" si="3"/>
        <v>dsds123486</v>
      </c>
      <c r="I20" s="9" t="str">
        <f t="shared" si="4"/>
        <v>Notebook 15"</v>
      </c>
    </row>
    <row r="21" spans="1:9" x14ac:dyDescent="0.25">
      <c r="A21" s="7">
        <v>6000123485</v>
      </c>
      <c r="B21" s="19" t="s">
        <v>362</v>
      </c>
      <c r="C21" s="17" t="s">
        <v>409</v>
      </c>
      <c r="D21" s="7" t="s">
        <v>251</v>
      </c>
      <c r="F21" s="9">
        <f t="shared" si="1"/>
        <v>6000123485</v>
      </c>
      <c r="G21" s="9" t="str">
        <f t="shared" si="2"/>
        <v>0062198736</v>
      </c>
      <c r="H21" s="9" t="str">
        <f t="shared" si="3"/>
        <v>dsds123485</v>
      </c>
      <c r="I21" s="9" t="str">
        <f t="shared" si="4"/>
        <v>Notebook 15"</v>
      </c>
    </row>
    <row r="22" spans="1:9" x14ac:dyDescent="0.25">
      <c r="A22" s="7">
        <v>6000123484</v>
      </c>
      <c r="B22" s="19" t="s">
        <v>361</v>
      </c>
      <c r="C22" s="17" t="s">
        <v>408</v>
      </c>
      <c r="D22" s="7" t="s">
        <v>251</v>
      </c>
      <c r="F22" s="9">
        <f t="shared" si="1"/>
        <v>6000123484</v>
      </c>
      <c r="G22" s="9" t="str">
        <f t="shared" si="2"/>
        <v>0062198737</v>
      </c>
      <c r="H22" s="9" t="str">
        <f t="shared" si="3"/>
        <v>dsds123484</v>
      </c>
      <c r="I22" s="9" t="str">
        <f t="shared" si="4"/>
        <v>Notebook 15"</v>
      </c>
    </row>
    <row r="23" spans="1:9" x14ac:dyDescent="0.25">
      <c r="A23" s="7">
        <v>6000123483</v>
      </c>
      <c r="B23" s="19" t="s">
        <v>360</v>
      </c>
      <c r="C23" s="17" t="s">
        <v>407</v>
      </c>
      <c r="D23" s="7" t="s">
        <v>251</v>
      </c>
      <c r="F23" s="9">
        <f t="shared" si="1"/>
        <v>6000123483</v>
      </c>
      <c r="G23" s="9" t="str">
        <f t="shared" si="2"/>
        <v>0062198738</v>
      </c>
      <c r="H23" s="9" t="str">
        <f t="shared" si="3"/>
        <v>dsds123483</v>
      </c>
      <c r="I23" s="9" t="str">
        <f t="shared" si="4"/>
        <v>Notebook 15"</v>
      </c>
    </row>
    <row r="24" spans="1:9" x14ac:dyDescent="0.25">
      <c r="A24" s="7">
        <v>6000123482</v>
      </c>
      <c r="B24" s="19" t="s">
        <v>359</v>
      </c>
      <c r="C24" s="17" t="s">
        <v>406</v>
      </c>
      <c r="D24" s="7" t="s">
        <v>251</v>
      </c>
      <c r="F24" s="9">
        <f t="shared" si="1"/>
        <v>6000123482</v>
      </c>
      <c r="G24" s="9" t="str">
        <f t="shared" si="2"/>
        <v>0062198739</v>
      </c>
      <c r="H24" s="9" t="str">
        <f t="shared" si="3"/>
        <v>dsds123482</v>
      </c>
      <c r="I24" s="9" t="str">
        <f t="shared" si="4"/>
        <v>Notebook 15"</v>
      </c>
    </row>
    <row r="25" spans="1:9" x14ac:dyDescent="0.25">
      <c r="A25" s="7">
        <v>6000123481</v>
      </c>
      <c r="B25" s="19" t="s">
        <v>358</v>
      </c>
      <c r="C25" s="17" t="s">
        <v>405</v>
      </c>
      <c r="D25" s="7" t="s">
        <v>251</v>
      </c>
      <c r="F25" s="9">
        <f t="shared" si="1"/>
        <v>6000123481</v>
      </c>
      <c r="G25" s="9" t="str">
        <f t="shared" si="2"/>
        <v>0062198740</v>
      </c>
      <c r="H25" s="9" t="str">
        <f t="shared" si="3"/>
        <v>dsds123481</v>
      </c>
      <c r="I25" s="9" t="str">
        <f t="shared" si="4"/>
        <v>Notebook 15"</v>
      </c>
    </row>
    <row r="26" spans="1:9" x14ac:dyDescent="0.25">
      <c r="A26" s="7">
        <v>6000123480</v>
      </c>
      <c r="B26" s="19" t="s">
        <v>357</v>
      </c>
      <c r="C26" s="17" t="s">
        <v>404</v>
      </c>
      <c r="D26" s="7" t="s">
        <v>251</v>
      </c>
      <c r="F26" s="9">
        <f t="shared" si="1"/>
        <v>6000123480</v>
      </c>
      <c r="G26" s="9" t="str">
        <f t="shared" si="2"/>
        <v>0062198741</v>
      </c>
      <c r="H26" s="9" t="str">
        <f t="shared" si="3"/>
        <v>dsds123480</v>
      </c>
      <c r="I26" s="9" t="str">
        <f t="shared" si="4"/>
        <v>Notebook 15"</v>
      </c>
    </row>
    <row r="27" spans="1:9" x14ac:dyDescent="0.25">
      <c r="A27" s="7">
        <v>6000123479</v>
      </c>
      <c r="B27" s="19" t="s">
        <v>356</v>
      </c>
      <c r="C27" s="17" t="s">
        <v>403</v>
      </c>
      <c r="D27" s="7" t="s">
        <v>251</v>
      </c>
      <c r="F27" s="9">
        <f t="shared" si="1"/>
        <v>6000123479</v>
      </c>
      <c r="G27" s="9" t="str">
        <f t="shared" si="2"/>
        <v>0062198742</v>
      </c>
      <c r="H27" s="9" t="str">
        <f t="shared" si="3"/>
        <v>dsds123479</v>
      </c>
      <c r="I27" s="9" t="str">
        <f t="shared" si="4"/>
        <v>Notebook 15"</v>
      </c>
    </row>
    <row r="28" spans="1:9" x14ac:dyDescent="0.25">
      <c r="A28" s="7">
        <v>6000123478</v>
      </c>
      <c r="B28" s="19" t="s">
        <v>355</v>
      </c>
      <c r="C28" s="17" t="s">
        <v>402</v>
      </c>
      <c r="D28" s="7" t="s">
        <v>251</v>
      </c>
      <c r="F28" s="9">
        <f t="shared" si="1"/>
        <v>6000123478</v>
      </c>
      <c r="G28" s="9" t="str">
        <f t="shared" si="2"/>
        <v>0062198743</v>
      </c>
      <c r="H28" s="9" t="str">
        <f t="shared" si="3"/>
        <v>dsds123478</v>
      </c>
      <c r="I28" s="9" t="str">
        <f t="shared" si="4"/>
        <v>Notebook 15"</v>
      </c>
    </row>
    <row r="29" spans="1:9" x14ac:dyDescent="0.25">
      <c r="A29" s="7">
        <v>6000123477</v>
      </c>
      <c r="B29" s="19" t="s">
        <v>354</v>
      </c>
      <c r="C29" s="17" t="s">
        <v>401</v>
      </c>
      <c r="D29" s="7" t="s">
        <v>251</v>
      </c>
      <c r="F29" s="9">
        <f t="shared" si="1"/>
        <v>6000123477</v>
      </c>
      <c r="G29" s="9" t="str">
        <f t="shared" si="2"/>
        <v>0062198744</v>
      </c>
      <c r="H29" s="9" t="str">
        <f t="shared" si="3"/>
        <v>dsds123477</v>
      </c>
      <c r="I29" s="9" t="str">
        <f t="shared" si="4"/>
        <v>Notebook 15"</v>
      </c>
    </row>
    <row r="30" spans="1:9" x14ac:dyDescent="0.25">
      <c r="A30" s="7">
        <v>6000123476</v>
      </c>
      <c r="B30" s="19" t="s">
        <v>353</v>
      </c>
      <c r="C30" s="17" t="s">
        <v>400</v>
      </c>
      <c r="D30" s="7" t="s">
        <v>251</v>
      </c>
      <c r="F30" s="9">
        <f t="shared" si="1"/>
        <v>6000123476</v>
      </c>
      <c r="G30" s="9" t="str">
        <f t="shared" si="2"/>
        <v>0062198745</v>
      </c>
      <c r="H30" s="9" t="str">
        <f t="shared" si="3"/>
        <v>dsds123476</v>
      </c>
      <c r="I30" s="9" t="str">
        <f t="shared" si="4"/>
        <v>Notebook 15"</v>
      </c>
    </row>
    <row r="31" spans="1:9" x14ac:dyDescent="0.25">
      <c r="A31" s="7">
        <v>6000123475</v>
      </c>
      <c r="B31" s="19" t="s">
        <v>352</v>
      </c>
      <c r="C31" s="17" t="s">
        <v>399</v>
      </c>
      <c r="D31" s="7" t="s">
        <v>251</v>
      </c>
      <c r="F31" s="9">
        <f t="shared" si="1"/>
        <v>6000123475</v>
      </c>
      <c r="G31" s="9" t="str">
        <f t="shared" si="2"/>
        <v>0062198746</v>
      </c>
      <c r="H31" s="9" t="str">
        <f t="shared" si="3"/>
        <v>dsds123475</v>
      </c>
      <c r="I31" s="9" t="str">
        <f t="shared" si="4"/>
        <v>Notebook 15"</v>
      </c>
    </row>
    <row r="32" spans="1:9" x14ac:dyDescent="0.25">
      <c r="A32" s="7">
        <v>6000123473</v>
      </c>
      <c r="B32" s="19" t="s">
        <v>351</v>
      </c>
      <c r="C32" s="17" t="s">
        <v>398</v>
      </c>
      <c r="D32" s="7" t="s">
        <v>251</v>
      </c>
      <c r="F32" s="9">
        <f t="shared" si="1"/>
        <v>6000123473</v>
      </c>
      <c r="G32" s="9" t="str">
        <f t="shared" si="2"/>
        <v>0062198748</v>
      </c>
      <c r="H32" s="9" t="str">
        <f t="shared" si="3"/>
        <v>dsds123473</v>
      </c>
      <c r="I32" s="9" t="str">
        <f t="shared" si="4"/>
        <v>Notebook 15"</v>
      </c>
    </row>
    <row r="33" spans="1:9" x14ac:dyDescent="0.25">
      <c r="A33" s="7">
        <v>6000123472</v>
      </c>
      <c r="B33" s="19" t="s">
        <v>350</v>
      </c>
      <c r="C33" s="17" t="s">
        <v>397</v>
      </c>
      <c r="D33" s="7" t="s">
        <v>251</v>
      </c>
      <c r="F33" s="9">
        <f t="shared" si="1"/>
        <v>6000123472</v>
      </c>
      <c r="G33" s="9" t="str">
        <f t="shared" si="2"/>
        <v>0062198749</v>
      </c>
      <c r="H33" s="9" t="str">
        <f t="shared" si="3"/>
        <v>dsds123472</v>
      </c>
      <c r="I33" s="9" t="str">
        <f t="shared" si="4"/>
        <v>Notebook 15"</v>
      </c>
    </row>
    <row r="34" spans="1:9" x14ac:dyDescent="0.25">
      <c r="A34" s="7">
        <v>6000123471</v>
      </c>
      <c r="B34" s="19" t="s">
        <v>349</v>
      </c>
      <c r="C34" s="17" t="s">
        <v>396</v>
      </c>
      <c r="D34" s="7" t="s">
        <v>251</v>
      </c>
      <c r="F34" s="9">
        <f t="shared" si="1"/>
        <v>6000123471</v>
      </c>
      <c r="G34" s="9" t="str">
        <f t="shared" si="2"/>
        <v>0062198750</v>
      </c>
      <c r="H34" s="9" t="str">
        <f t="shared" si="3"/>
        <v>dsds123471</v>
      </c>
      <c r="I34" s="9" t="str">
        <f t="shared" si="4"/>
        <v>Notebook 15"</v>
      </c>
    </row>
    <row r="35" spans="1:9" x14ac:dyDescent="0.25">
      <c r="A35" s="7">
        <v>6000123470</v>
      </c>
      <c r="B35" s="19" t="s">
        <v>348</v>
      </c>
      <c r="C35" s="17" t="s">
        <v>395</v>
      </c>
      <c r="D35" s="7" t="s">
        <v>251</v>
      </c>
      <c r="F35" s="9">
        <f t="shared" si="1"/>
        <v>6000123470</v>
      </c>
      <c r="G35" s="9" t="str">
        <f t="shared" si="2"/>
        <v>0062198751</v>
      </c>
      <c r="H35" s="9" t="str">
        <f t="shared" si="3"/>
        <v>dsds123470</v>
      </c>
      <c r="I35" s="9" t="str">
        <f t="shared" si="4"/>
        <v>Notebook 15"</v>
      </c>
    </row>
    <row r="36" spans="1:9" x14ac:dyDescent="0.25">
      <c r="A36" s="7">
        <v>6000123469</v>
      </c>
      <c r="B36" s="19" t="s">
        <v>347</v>
      </c>
      <c r="C36" s="17" t="s">
        <v>394</v>
      </c>
      <c r="D36" s="7" t="s">
        <v>251</v>
      </c>
      <c r="F36" s="9">
        <f t="shared" si="1"/>
        <v>6000123469</v>
      </c>
      <c r="G36" s="9" t="str">
        <f t="shared" si="2"/>
        <v>0062198752</v>
      </c>
      <c r="H36" s="9" t="str">
        <f t="shared" si="3"/>
        <v>dsds123469</v>
      </c>
      <c r="I36" s="9" t="str">
        <f t="shared" si="4"/>
        <v>Notebook 15"</v>
      </c>
    </row>
    <row r="37" spans="1:9" x14ac:dyDescent="0.25">
      <c r="A37" s="7">
        <v>6000123468</v>
      </c>
      <c r="B37" s="19" t="s">
        <v>346</v>
      </c>
      <c r="C37" s="17" t="s">
        <v>393</v>
      </c>
      <c r="D37" s="7" t="s">
        <v>251</v>
      </c>
      <c r="F37" s="9">
        <f t="shared" si="1"/>
        <v>6000123468</v>
      </c>
      <c r="G37" s="9" t="str">
        <f t="shared" si="2"/>
        <v>0062198753</v>
      </c>
      <c r="H37" s="9" t="str">
        <f t="shared" si="3"/>
        <v>dsds123468</v>
      </c>
      <c r="I37" s="9" t="str">
        <f t="shared" si="4"/>
        <v>Notebook 15"</v>
      </c>
    </row>
    <row r="38" spans="1:9" x14ac:dyDescent="0.25">
      <c r="A38" s="7">
        <v>6000123467</v>
      </c>
      <c r="B38" s="19" t="s">
        <v>345</v>
      </c>
      <c r="C38" s="17" t="s">
        <v>392</v>
      </c>
      <c r="D38" s="7" t="s">
        <v>251</v>
      </c>
      <c r="F38" s="9">
        <f t="shared" si="1"/>
        <v>6000123467</v>
      </c>
      <c r="G38" s="9" t="str">
        <f t="shared" si="2"/>
        <v>0062198754</v>
      </c>
      <c r="H38" s="9" t="str">
        <f t="shared" si="3"/>
        <v>dsds123467</v>
      </c>
      <c r="I38" s="9" t="str">
        <f t="shared" si="4"/>
        <v>Notebook 15"</v>
      </c>
    </row>
    <row r="39" spans="1:9" x14ac:dyDescent="0.25">
      <c r="A39" s="7">
        <v>6000123466</v>
      </c>
      <c r="B39" s="19" t="s">
        <v>344</v>
      </c>
      <c r="C39" s="17" t="s">
        <v>391</v>
      </c>
      <c r="D39" s="7" t="s">
        <v>251</v>
      </c>
      <c r="F39" s="9">
        <f t="shared" si="1"/>
        <v>6000123466</v>
      </c>
      <c r="G39" s="9" t="str">
        <f t="shared" si="2"/>
        <v>0062198755</v>
      </c>
      <c r="H39" s="9" t="str">
        <f t="shared" si="3"/>
        <v>dsds123466</v>
      </c>
      <c r="I39" s="9" t="str">
        <f t="shared" si="4"/>
        <v>Notebook 15"</v>
      </c>
    </row>
    <row r="40" spans="1:9" x14ac:dyDescent="0.25">
      <c r="A40" s="7">
        <v>6000123465</v>
      </c>
      <c r="B40" s="19" t="s">
        <v>343</v>
      </c>
      <c r="C40" s="17" t="s">
        <v>390</v>
      </c>
      <c r="D40" s="7" t="s">
        <v>251</v>
      </c>
      <c r="F40" s="9">
        <f t="shared" si="1"/>
        <v>6000123465</v>
      </c>
      <c r="G40" s="9" t="str">
        <f t="shared" si="2"/>
        <v>0062198756</v>
      </c>
      <c r="H40" s="9" t="str">
        <f t="shared" si="3"/>
        <v>dsds123465</v>
      </c>
      <c r="I40" s="9" t="str">
        <f t="shared" si="4"/>
        <v>Notebook 15"</v>
      </c>
    </row>
    <row r="41" spans="1:9" x14ac:dyDescent="0.25">
      <c r="A41" s="7">
        <v>6000123464</v>
      </c>
      <c r="B41" s="19" t="s">
        <v>342</v>
      </c>
      <c r="C41" s="17" t="s">
        <v>389</v>
      </c>
      <c r="D41" s="7" t="s">
        <v>251</v>
      </c>
      <c r="F41" s="9">
        <f t="shared" si="1"/>
        <v>6000123464</v>
      </c>
      <c r="G41" s="9" t="str">
        <f t="shared" si="2"/>
        <v>0062198757</v>
      </c>
      <c r="H41" s="9" t="str">
        <f t="shared" si="3"/>
        <v>dsds123464</v>
      </c>
      <c r="I41" s="9" t="str">
        <f t="shared" si="4"/>
        <v>Notebook 15"</v>
      </c>
    </row>
    <row r="42" spans="1:9" x14ac:dyDescent="0.25">
      <c r="A42" s="7">
        <v>6000123463</v>
      </c>
      <c r="B42" s="19" t="s">
        <v>341</v>
      </c>
      <c r="C42" s="17" t="s">
        <v>388</v>
      </c>
      <c r="D42" s="7" t="s">
        <v>251</v>
      </c>
      <c r="F42" s="9">
        <f t="shared" si="1"/>
        <v>6000123463</v>
      </c>
      <c r="G42" s="9" t="str">
        <f t="shared" si="2"/>
        <v>0062198758</v>
      </c>
      <c r="H42" s="9" t="str">
        <f t="shared" si="3"/>
        <v>dsds123463</v>
      </c>
      <c r="I42" s="9" t="str">
        <f t="shared" si="4"/>
        <v>Notebook 15"</v>
      </c>
    </row>
    <row r="43" spans="1:9" x14ac:dyDescent="0.25">
      <c r="A43" s="7">
        <v>6000123462</v>
      </c>
      <c r="B43" s="19" t="s">
        <v>340</v>
      </c>
      <c r="C43" s="17" t="s">
        <v>387</v>
      </c>
      <c r="D43" s="7" t="s">
        <v>251</v>
      </c>
      <c r="F43" s="9">
        <f t="shared" si="1"/>
        <v>6000123462</v>
      </c>
      <c r="G43" s="9" t="str">
        <f t="shared" si="2"/>
        <v>0062198759</v>
      </c>
      <c r="H43" s="9" t="str">
        <f t="shared" si="3"/>
        <v>dsds123462</v>
      </c>
      <c r="I43" s="9" t="str">
        <f t="shared" si="4"/>
        <v>Notebook 15"</v>
      </c>
    </row>
    <row r="44" spans="1:9" x14ac:dyDescent="0.25">
      <c r="A44" s="7">
        <v>6000123461</v>
      </c>
      <c r="B44" s="19" t="s">
        <v>339</v>
      </c>
      <c r="C44" s="17" t="s">
        <v>386</v>
      </c>
      <c r="D44" s="7" t="s">
        <v>251</v>
      </c>
      <c r="F44" s="9">
        <f t="shared" si="1"/>
        <v>6000123461</v>
      </c>
      <c r="G44" s="9" t="str">
        <f t="shared" si="2"/>
        <v>0062198760</v>
      </c>
      <c r="H44" s="9" t="str">
        <f t="shared" si="3"/>
        <v>dsds123461</v>
      </c>
      <c r="I44" s="9" t="str">
        <f t="shared" si="4"/>
        <v>Notebook 15"</v>
      </c>
    </row>
    <row r="45" spans="1:9" x14ac:dyDescent="0.25">
      <c r="A45" s="7">
        <v>6000123460</v>
      </c>
      <c r="B45" s="19" t="s">
        <v>338</v>
      </c>
      <c r="C45" s="17" t="s">
        <v>385</v>
      </c>
      <c r="D45" s="7" t="s">
        <v>251</v>
      </c>
      <c r="F45" s="9">
        <f t="shared" si="1"/>
        <v>6000123460</v>
      </c>
      <c r="G45" s="9" t="str">
        <f t="shared" si="2"/>
        <v>0062198761</v>
      </c>
      <c r="H45" s="9" t="str">
        <f t="shared" si="3"/>
        <v>dsds123460</v>
      </c>
      <c r="I45" s="9" t="str">
        <f t="shared" si="4"/>
        <v>Notebook 15"</v>
      </c>
    </row>
    <row r="46" spans="1:9" x14ac:dyDescent="0.25">
      <c r="A46" s="7">
        <v>6000123459</v>
      </c>
      <c r="B46" s="19" t="s">
        <v>337</v>
      </c>
      <c r="C46" s="17" t="s">
        <v>384</v>
      </c>
      <c r="D46" s="7" t="s">
        <v>251</v>
      </c>
      <c r="F46" s="9">
        <f t="shared" si="1"/>
        <v>6000123459</v>
      </c>
      <c r="G46" s="9" t="str">
        <f t="shared" si="2"/>
        <v>0062198762</v>
      </c>
      <c r="H46" s="9" t="str">
        <f t="shared" si="3"/>
        <v>dsds123459</v>
      </c>
      <c r="I46" s="9" t="str">
        <f t="shared" si="4"/>
        <v>Notebook 15"</v>
      </c>
    </row>
    <row r="47" spans="1:9" x14ac:dyDescent="0.25">
      <c r="A47" s="7">
        <v>6000123458</v>
      </c>
      <c r="B47" s="19" t="s">
        <v>336</v>
      </c>
      <c r="C47" s="17" t="s">
        <v>383</v>
      </c>
      <c r="D47" s="7" t="s">
        <v>251</v>
      </c>
      <c r="F47" s="9">
        <f t="shared" si="1"/>
        <v>6000123458</v>
      </c>
      <c r="G47" s="9" t="str">
        <f t="shared" si="2"/>
        <v>0062198763</v>
      </c>
      <c r="H47" s="9" t="str">
        <f t="shared" si="3"/>
        <v>dsds123458</v>
      </c>
      <c r="I47" s="9" t="str">
        <f t="shared" si="4"/>
        <v>Notebook 15"</v>
      </c>
    </row>
    <row r="48" spans="1:9" x14ac:dyDescent="0.25">
      <c r="A48" s="7">
        <v>6000123457</v>
      </c>
      <c r="B48" s="19" t="s">
        <v>335</v>
      </c>
      <c r="C48" s="17" t="s">
        <v>382</v>
      </c>
      <c r="D48" s="7" t="s">
        <v>251</v>
      </c>
      <c r="F48" s="9">
        <f t="shared" si="1"/>
        <v>6000123457</v>
      </c>
      <c r="G48" s="9" t="str">
        <f t="shared" si="2"/>
        <v>0062198764</v>
      </c>
      <c r="H48" s="9" t="str">
        <f t="shared" si="3"/>
        <v>dsds123457</v>
      </c>
      <c r="I48" s="9" t="str">
        <f t="shared" si="4"/>
        <v>Notebook 15"</v>
      </c>
    </row>
    <row r="49" spans="1:9" x14ac:dyDescent="0.25">
      <c r="A49" s="7">
        <v>6000123456</v>
      </c>
      <c r="B49" s="19" t="s">
        <v>333</v>
      </c>
      <c r="C49" s="17" t="s">
        <v>334</v>
      </c>
      <c r="D49" s="7" t="s">
        <v>251</v>
      </c>
      <c r="F49" s="9">
        <f t="shared" si="1"/>
        <v>6000123456</v>
      </c>
      <c r="G49" s="9" t="str">
        <f t="shared" si="2"/>
        <v>0062198765</v>
      </c>
      <c r="H49" s="9" t="str">
        <f t="shared" si="3"/>
        <v>dsds123456</v>
      </c>
      <c r="I49" s="9" t="str">
        <f t="shared" si="4"/>
        <v>Notebook 15"</v>
      </c>
    </row>
    <row r="50" spans="1:9" x14ac:dyDescent="0.25">
      <c r="A50" s="7">
        <v>6000123474</v>
      </c>
      <c r="B50" s="19"/>
      <c r="C50" s="17"/>
      <c r="D50" s="7" t="s">
        <v>230</v>
      </c>
      <c r="F50" s="9" t="str">
        <f t="shared" si="1"/>
        <v/>
      </c>
      <c r="G50" s="9" t="str">
        <f t="shared" si="2"/>
        <v/>
      </c>
      <c r="H50" s="9" t="str">
        <f t="shared" si="3"/>
        <v/>
      </c>
      <c r="I50" s="9" t="str">
        <f t="shared" si="4"/>
        <v/>
      </c>
    </row>
    <row r="51" spans="1:9" x14ac:dyDescent="0.25">
      <c r="A51" s="7">
        <v>6000123489</v>
      </c>
      <c r="B51" s="19"/>
      <c r="C51" s="17"/>
      <c r="D51" s="7" t="s">
        <v>12</v>
      </c>
      <c r="F51" s="9" t="str">
        <f t="shared" si="1"/>
        <v/>
      </c>
      <c r="G51" s="9" t="str">
        <f t="shared" si="2"/>
        <v/>
      </c>
      <c r="H51" s="9" t="str">
        <f t="shared" si="3"/>
        <v/>
      </c>
      <c r="I51" s="9" t="str">
        <f t="shared" si="4"/>
        <v/>
      </c>
    </row>
  </sheetData>
  <sortState xmlns:xlrd2="http://schemas.microsoft.com/office/spreadsheetml/2017/richdata2" ref="A2:D51">
    <sortCondition ref="B2:B51"/>
  </sortState>
  <dataValidations count="1">
    <dataValidation type="list" allowBlank="1" showInputMessage="1" showErrorMessage="1" sqref="D2:D51" xr:uid="{00000000-0002-0000-0700-000000000000}">
      <formula1>Produkt</formula1>
    </dataValidation>
  </dataValidation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0"/>
  <dimension ref="A1:M57"/>
  <sheetViews>
    <sheetView workbookViewId="0">
      <selection sqref="A1:K59"/>
    </sheetView>
  </sheetViews>
  <sheetFormatPr defaultColWidth="11.453125" defaultRowHeight="12.5" x14ac:dyDescent="0.25"/>
  <cols>
    <col min="2" max="2" width="17" customWidth="1"/>
    <col min="3" max="3" width="24" customWidth="1"/>
    <col min="4" max="4" width="28.26953125" customWidth="1"/>
    <col min="5" max="5" width="34.81640625" customWidth="1"/>
    <col min="6" max="6" width="12.81640625" customWidth="1"/>
    <col min="7" max="8" width="10.26953125" customWidth="1"/>
    <col min="9" max="9" width="57.1796875" customWidth="1"/>
    <col min="10" max="10" width="28.7265625" customWidth="1"/>
    <col min="11" max="13" width="4.453125" style="9" customWidth="1"/>
  </cols>
  <sheetData>
    <row r="1" spans="1:10" ht="28.5" thickTop="1" thickBot="1" x14ac:dyDescent="0.6">
      <c r="A1" s="30" t="s">
        <v>209</v>
      </c>
      <c r="B1" s="31"/>
      <c r="C1" s="31"/>
      <c r="D1" s="8" t="s">
        <v>450</v>
      </c>
      <c r="F1" s="9"/>
      <c r="G1" s="9"/>
      <c r="H1" s="9"/>
      <c r="I1" s="9"/>
      <c r="J1" s="9"/>
    </row>
    <row r="2" spans="1:10" ht="13.5" thickTop="1" thickBot="1" x14ac:dyDescent="0.3">
      <c r="B2" s="9"/>
      <c r="C2" s="9"/>
      <c r="D2" s="9"/>
      <c r="E2" s="9"/>
      <c r="F2" s="9"/>
      <c r="G2" s="9"/>
      <c r="H2" s="9"/>
      <c r="I2" s="9"/>
      <c r="J2" s="9"/>
    </row>
    <row r="3" spans="1:10" ht="13" thickTop="1" x14ac:dyDescent="0.25">
      <c r="A3" s="35" t="s">
        <v>214</v>
      </c>
      <c r="B3" s="36"/>
      <c r="C3" s="36"/>
      <c r="D3" s="37"/>
      <c r="F3" s="9"/>
      <c r="G3" s="9"/>
      <c r="H3" s="9"/>
      <c r="I3" s="9"/>
      <c r="J3" s="9"/>
    </row>
    <row r="4" spans="1:10" x14ac:dyDescent="0.25">
      <c r="A4" s="32" t="s">
        <v>448</v>
      </c>
      <c r="B4" s="33"/>
      <c r="C4" s="33"/>
      <c r="D4" s="34"/>
      <c r="F4" s="9"/>
      <c r="G4" s="9"/>
      <c r="H4" s="9"/>
      <c r="I4" s="9"/>
      <c r="J4" s="9"/>
    </row>
    <row r="5" spans="1:10" ht="13" thickBot="1" x14ac:dyDescent="0.3">
      <c r="A5" s="38" t="s">
        <v>452</v>
      </c>
      <c r="B5" s="39"/>
      <c r="C5" s="39"/>
      <c r="D5" s="40"/>
      <c r="F5" s="9"/>
      <c r="G5" s="9"/>
      <c r="H5" s="9"/>
      <c r="I5" s="9"/>
      <c r="J5" s="9"/>
    </row>
    <row r="6" spans="1:10" ht="13.5" thickTop="1" thickBot="1" x14ac:dyDescent="0.3">
      <c r="B6" s="9"/>
      <c r="C6" s="9"/>
      <c r="D6" s="9"/>
      <c r="E6" s="9"/>
      <c r="F6" s="9"/>
      <c r="G6" s="9"/>
      <c r="H6" s="9"/>
      <c r="I6" s="9"/>
      <c r="J6" s="9"/>
    </row>
    <row r="7" spans="1:10" ht="25" x14ac:dyDescent="0.25">
      <c r="A7" s="11" t="s">
        <v>263</v>
      </c>
      <c r="B7" s="10" t="s">
        <v>0</v>
      </c>
      <c r="C7" s="10" t="s">
        <v>1</v>
      </c>
      <c r="D7" s="11" t="s">
        <v>231</v>
      </c>
      <c r="E7" s="10" t="s">
        <v>2</v>
      </c>
      <c r="F7" s="10" t="s">
        <v>3</v>
      </c>
      <c r="G7" s="10" t="s">
        <v>4</v>
      </c>
      <c r="H7" s="10" t="s">
        <v>241</v>
      </c>
      <c r="I7" s="11" t="s">
        <v>266</v>
      </c>
      <c r="J7" s="10" t="s">
        <v>5</v>
      </c>
    </row>
    <row r="8" spans="1:10" x14ac:dyDescent="0.25">
      <c r="A8" s="7">
        <v>1</v>
      </c>
      <c r="B8" s="7"/>
      <c r="C8" s="19"/>
      <c r="D8" s="17"/>
      <c r="E8" s="7"/>
      <c r="F8" s="13" t="e">
        <v>#N/A</v>
      </c>
      <c r="G8" s="12" t="e">
        <v>#N/A</v>
      </c>
      <c r="H8" s="16"/>
      <c r="I8" s="16"/>
      <c r="J8" s="41"/>
    </row>
    <row r="9" spans="1:10" x14ac:dyDescent="0.25">
      <c r="A9" s="7">
        <v>2</v>
      </c>
      <c r="B9" s="7"/>
      <c r="C9" s="19"/>
      <c r="D9" s="17"/>
      <c r="E9" s="7"/>
      <c r="F9" s="13" t="e">
        <v>#N/A</v>
      </c>
      <c r="G9" s="12" t="e">
        <v>#N/A</v>
      </c>
      <c r="H9" s="16"/>
      <c r="I9" s="16"/>
      <c r="J9" s="42"/>
    </row>
    <row r="10" spans="1:10" x14ac:dyDescent="0.25">
      <c r="A10" s="7">
        <v>3</v>
      </c>
      <c r="B10" s="7"/>
      <c r="C10" s="19"/>
      <c r="D10" s="17"/>
      <c r="E10" s="7"/>
      <c r="F10" s="13" t="e">
        <v>#N/A</v>
      </c>
      <c r="G10" s="12" t="e">
        <v>#N/A</v>
      </c>
      <c r="H10" s="16"/>
      <c r="I10" s="16"/>
      <c r="J10" s="42"/>
    </row>
    <row r="11" spans="1:10" x14ac:dyDescent="0.25">
      <c r="A11" s="7">
        <v>4</v>
      </c>
      <c r="B11" s="7"/>
      <c r="C11" s="19"/>
      <c r="D11" s="17"/>
      <c r="E11" s="7"/>
      <c r="F11" s="13" t="e">
        <v>#N/A</v>
      </c>
      <c r="G11" s="12" t="e">
        <v>#N/A</v>
      </c>
      <c r="H11" s="16"/>
      <c r="I11" s="16"/>
      <c r="J11" s="42"/>
    </row>
    <row r="12" spans="1:10" x14ac:dyDescent="0.25">
      <c r="A12" s="7">
        <v>5</v>
      </c>
      <c r="B12" s="7"/>
      <c r="C12" s="19"/>
      <c r="D12" s="17"/>
      <c r="E12" s="7"/>
      <c r="F12" s="13" t="e">
        <v>#N/A</v>
      </c>
      <c r="G12" s="12" t="e">
        <v>#N/A</v>
      </c>
      <c r="H12" s="16"/>
      <c r="I12" s="16"/>
      <c r="J12" s="42"/>
    </row>
    <row r="13" spans="1:10" x14ac:dyDescent="0.25">
      <c r="A13" s="7">
        <v>6</v>
      </c>
      <c r="B13" s="7"/>
      <c r="C13" s="19"/>
      <c r="D13" s="17"/>
      <c r="E13" s="7"/>
      <c r="F13" s="13" t="e">
        <v>#N/A</v>
      </c>
      <c r="G13" s="12" t="e">
        <v>#N/A</v>
      </c>
      <c r="H13" s="16"/>
      <c r="I13" s="16"/>
      <c r="J13" s="42"/>
    </row>
    <row r="14" spans="1:10" x14ac:dyDescent="0.25">
      <c r="A14" s="7">
        <v>7</v>
      </c>
      <c r="B14" s="7"/>
      <c r="C14" s="19"/>
      <c r="D14" s="17"/>
      <c r="E14" s="7"/>
      <c r="F14" s="13" t="e">
        <v>#N/A</v>
      </c>
      <c r="G14" s="12" t="e">
        <v>#N/A</v>
      </c>
      <c r="H14" s="16"/>
      <c r="I14" s="16"/>
      <c r="J14" s="42"/>
    </row>
    <row r="15" spans="1:10" x14ac:dyDescent="0.25">
      <c r="A15" s="7">
        <v>8</v>
      </c>
      <c r="B15" s="7"/>
      <c r="C15" s="19"/>
      <c r="D15" s="17"/>
      <c r="E15" s="7"/>
      <c r="F15" s="13" t="e">
        <v>#N/A</v>
      </c>
      <c r="G15" s="12" t="e">
        <v>#N/A</v>
      </c>
      <c r="H15" s="16"/>
      <c r="I15" s="16"/>
      <c r="J15" s="42"/>
    </row>
    <row r="16" spans="1:10" x14ac:dyDescent="0.25">
      <c r="A16" s="7">
        <v>9</v>
      </c>
      <c r="B16" s="7"/>
      <c r="C16" s="19"/>
      <c r="D16" s="17"/>
      <c r="E16" s="7"/>
      <c r="F16" s="13" t="e">
        <v>#N/A</v>
      </c>
      <c r="G16" s="12" t="e">
        <v>#N/A</v>
      </c>
      <c r="H16" s="16"/>
      <c r="I16" s="16"/>
      <c r="J16" s="42"/>
    </row>
    <row r="17" spans="1:10" x14ac:dyDescent="0.25">
      <c r="A17" s="7">
        <v>10</v>
      </c>
      <c r="B17" s="7"/>
      <c r="C17" s="19"/>
      <c r="D17" s="17"/>
      <c r="E17" s="7"/>
      <c r="F17" s="13" t="e">
        <v>#N/A</v>
      </c>
      <c r="G17" s="12" t="e">
        <v>#N/A</v>
      </c>
      <c r="H17" s="16"/>
      <c r="I17" s="16"/>
      <c r="J17" s="42"/>
    </row>
    <row r="18" spans="1:10" x14ac:dyDescent="0.25">
      <c r="A18" s="7">
        <v>11</v>
      </c>
      <c r="B18" s="7"/>
      <c r="C18" s="19"/>
      <c r="D18" s="17"/>
      <c r="E18" s="7"/>
      <c r="F18" s="13" t="e">
        <v>#N/A</v>
      </c>
      <c r="G18" s="12" t="e">
        <v>#N/A</v>
      </c>
      <c r="H18" s="16"/>
      <c r="I18" s="16"/>
      <c r="J18" s="42"/>
    </row>
    <row r="19" spans="1:10" x14ac:dyDescent="0.25">
      <c r="A19" s="7">
        <v>12</v>
      </c>
      <c r="B19" s="7"/>
      <c r="C19" s="19"/>
      <c r="D19" s="17"/>
      <c r="E19" s="7"/>
      <c r="F19" s="13" t="e">
        <v>#N/A</v>
      </c>
      <c r="G19" s="12" t="e">
        <v>#N/A</v>
      </c>
      <c r="H19" s="16"/>
      <c r="I19" s="16"/>
      <c r="J19" s="42"/>
    </row>
    <row r="20" spans="1:10" x14ac:dyDescent="0.25">
      <c r="A20" s="7">
        <v>13</v>
      </c>
      <c r="B20" s="7"/>
      <c r="C20" s="19"/>
      <c r="D20" s="17"/>
      <c r="E20" s="7"/>
      <c r="F20" s="13" t="e">
        <v>#N/A</v>
      </c>
      <c r="G20" s="12" t="e">
        <v>#N/A</v>
      </c>
      <c r="H20" s="16"/>
      <c r="I20" s="16"/>
      <c r="J20" s="42"/>
    </row>
    <row r="21" spans="1:10" x14ac:dyDescent="0.25">
      <c r="A21" s="7">
        <v>14</v>
      </c>
      <c r="B21" s="7"/>
      <c r="C21" s="19"/>
      <c r="D21" s="17"/>
      <c r="E21" s="7"/>
      <c r="F21" s="13" t="e">
        <v>#N/A</v>
      </c>
      <c r="G21" s="12" t="e">
        <v>#N/A</v>
      </c>
      <c r="H21" s="16"/>
      <c r="I21" s="16"/>
      <c r="J21" s="42"/>
    </row>
    <row r="22" spans="1:10" x14ac:dyDescent="0.25">
      <c r="A22" s="7">
        <v>15</v>
      </c>
      <c r="B22" s="7"/>
      <c r="C22" s="19"/>
      <c r="D22" s="17"/>
      <c r="E22" s="7"/>
      <c r="F22" s="13" t="e">
        <v>#N/A</v>
      </c>
      <c r="G22" s="12" t="e">
        <v>#N/A</v>
      </c>
      <c r="H22" s="16"/>
      <c r="I22" s="16"/>
      <c r="J22" s="42"/>
    </row>
    <row r="23" spans="1:10" x14ac:dyDescent="0.25">
      <c r="A23" s="7">
        <v>16</v>
      </c>
      <c r="B23" s="7"/>
      <c r="C23" s="19"/>
      <c r="D23" s="17"/>
      <c r="E23" s="7"/>
      <c r="F23" s="13" t="e">
        <v>#N/A</v>
      </c>
      <c r="G23" s="12" t="e">
        <v>#N/A</v>
      </c>
      <c r="H23" s="16"/>
      <c r="I23" s="16"/>
      <c r="J23" s="42"/>
    </row>
    <row r="24" spans="1:10" x14ac:dyDescent="0.25">
      <c r="A24" s="7">
        <v>17</v>
      </c>
      <c r="B24" s="7"/>
      <c r="C24" s="19"/>
      <c r="D24" s="17"/>
      <c r="E24" s="7"/>
      <c r="F24" s="13" t="e">
        <v>#N/A</v>
      </c>
      <c r="G24" s="12" t="e">
        <v>#N/A</v>
      </c>
      <c r="H24" s="16"/>
      <c r="I24" s="16"/>
      <c r="J24" s="42"/>
    </row>
    <row r="25" spans="1:10" x14ac:dyDescent="0.25">
      <c r="A25" s="7">
        <v>18</v>
      </c>
      <c r="B25" s="7"/>
      <c r="C25" s="19"/>
      <c r="D25" s="17"/>
      <c r="E25" s="7"/>
      <c r="F25" s="13" t="e">
        <v>#N/A</v>
      </c>
      <c r="G25" s="12" t="e">
        <v>#N/A</v>
      </c>
      <c r="H25" s="16"/>
      <c r="I25" s="16"/>
      <c r="J25" s="42"/>
    </row>
    <row r="26" spans="1:10" x14ac:dyDescent="0.25">
      <c r="A26" s="7">
        <v>19</v>
      </c>
      <c r="B26" s="7"/>
      <c r="C26" s="19"/>
      <c r="D26" s="17"/>
      <c r="E26" s="7"/>
      <c r="F26" s="13" t="e">
        <v>#N/A</v>
      </c>
      <c r="G26" s="12" t="e">
        <v>#N/A</v>
      </c>
      <c r="H26" s="16"/>
      <c r="I26" s="16"/>
      <c r="J26" s="42"/>
    </row>
    <row r="27" spans="1:10" x14ac:dyDescent="0.25">
      <c r="A27" s="7">
        <v>20</v>
      </c>
      <c r="B27" s="7"/>
      <c r="C27" s="19"/>
      <c r="D27" s="17"/>
      <c r="E27" s="7"/>
      <c r="F27" s="13" t="e">
        <v>#N/A</v>
      </c>
      <c r="G27" s="12" t="e">
        <v>#N/A</v>
      </c>
      <c r="H27" s="16"/>
      <c r="I27" s="16"/>
      <c r="J27" s="42"/>
    </row>
    <row r="28" spans="1:10" x14ac:dyDescent="0.25">
      <c r="A28" s="7">
        <v>21</v>
      </c>
      <c r="B28" s="7"/>
      <c r="C28" s="19"/>
      <c r="D28" s="17"/>
      <c r="E28" s="7"/>
      <c r="F28" s="13" t="e">
        <v>#N/A</v>
      </c>
      <c r="G28" s="12" t="e">
        <v>#N/A</v>
      </c>
      <c r="H28" s="16"/>
      <c r="I28" s="16"/>
      <c r="J28" s="42"/>
    </row>
    <row r="29" spans="1:10" x14ac:dyDescent="0.25">
      <c r="A29" s="7">
        <v>22</v>
      </c>
      <c r="B29" s="7"/>
      <c r="C29" s="19"/>
      <c r="D29" s="17"/>
      <c r="E29" s="7"/>
      <c r="F29" s="13" t="e">
        <v>#N/A</v>
      </c>
      <c r="G29" s="12" t="e">
        <v>#N/A</v>
      </c>
      <c r="H29" s="16"/>
      <c r="I29" s="16"/>
      <c r="J29" s="42"/>
    </row>
    <row r="30" spans="1:10" x14ac:dyDescent="0.25">
      <c r="A30" s="7">
        <v>23</v>
      </c>
      <c r="B30" s="7"/>
      <c r="C30" s="19"/>
      <c r="D30" s="17"/>
      <c r="E30" s="7"/>
      <c r="F30" s="13" t="e">
        <v>#N/A</v>
      </c>
      <c r="G30" s="12" t="e">
        <v>#N/A</v>
      </c>
      <c r="H30" s="16"/>
      <c r="I30" s="16"/>
      <c r="J30" s="42"/>
    </row>
    <row r="31" spans="1:10" x14ac:dyDescent="0.25">
      <c r="A31" s="7">
        <v>24</v>
      </c>
      <c r="B31" s="7"/>
      <c r="C31" s="19"/>
      <c r="D31" s="17"/>
      <c r="E31" s="7"/>
      <c r="F31" s="13" t="e">
        <v>#N/A</v>
      </c>
      <c r="G31" s="12" t="e">
        <v>#N/A</v>
      </c>
      <c r="H31" s="16"/>
      <c r="I31" s="16"/>
      <c r="J31" s="42"/>
    </row>
    <row r="32" spans="1:10" x14ac:dyDescent="0.25">
      <c r="A32" s="7">
        <v>25</v>
      </c>
      <c r="B32" s="7"/>
      <c r="C32" s="19"/>
      <c r="D32" s="17"/>
      <c r="E32" s="7"/>
      <c r="F32" s="13" t="e">
        <v>#N/A</v>
      </c>
      <c r="G32" s="12" t="e">
        <v>#N/A</v>
      </c>
      <c r="H32" s="16"/>
      <c r="I32" s="16"/>
      <c r="J32" s="42"/>
    </row>
    <row r="33" spans="1:10" x14ac:dyDescent="0.25">
      <c r="A33" s="7">
        <v>26</v>
      </c>
      <c r="B33" s="7"/>
      <c r="C33" s="19"/>
      <c r="D33" s="17"/>
      <c r="E33" s="7"/>
      <c r="F33" s="13" t="e">
        <v>#N/A</v>
      </c>
      <c r="G33" s="12" t="e">
        <v>#N/A</v>
      </c>
      <c r="H33" s="16"/>
      <c r="I33" s="16"/>
      <c r="J33" s="42"/>
    </row>
    <row r="34" spans="1:10" x14ac:dyDescent="0.25">
      <c r="A34" s="7">
        <v>27</v>
      </c>
      <c r="B34" s="7"/>
      <c r="C34" s="19"/>
      <c r="D34" s="17"/>
      <c r="E34" s="7"/>
      <c r="F34" s="13" t="e">
        <v>#N/A</v>
      </c>
      <c r="G34" s="12" t="e">
        <v>#N/A</v>
      </c>
      <c r="H34" s="16"/>
      <c r="I34" s="16"/>
      <c r="J34" s="42"/>
    </row>
    <row r="35" spans="1:10" x14ac:dyDescent="0.25">
      <c r="A35" s="7">
        <v>28</v>
      </c>
      <c r="B35" s="7"/>
      <c r="C35" s="19"/>
      <c r="D35" s="17"/>
      <c r="E35" s="7"/>
      <c r="F35" s="13" t="e">
        <v>#N/A</v>
      </c>
      <c r="G35" s="12" t="e">
        <v>#N/A</v>
      </c>
      <c r="H35" s="16"/>
      <c r="I35" s="16"/>
      <c r="J35" s="42"/>
    </row>
    <row r="36" spans="1:10" x14ac:dyDescent="0.25">
      <c r="A36" s="7">
        <v>29</v>
      </c>
      <c r="B36" s="7"/>
      <c r="C36" s="19"/>
      <c r="D36" s="17"/>
      <c r="E36" s="7"/>
      <c r="F36" s="13" t="e">
        <v>#N/A</v>
      </c>
      <c r="G36" s="12" t="e">
        <v>#N/A</v>
      </c>
      <c r="H36" s="16"/>
      <c r="I36" s="16"/>
      <c r="J36" s="42"/>
    </row>
    <row r="37" spans="1:10" x14ac:dyDescent="0.25">
      <c r="A37" s="7">
        <v>30</v>
      </c>
      <c r="B37" s="7"/>
      <c r="C37" s="19"/>
      <c r="D37" s="17"/>
      <c r="E37" s="7"/>
      <c r="F37" s="13" t="e">
        <v>#N/A</v>
      </c>
      <c r="G37" s="12" t="e">
        <v>#N/A</v>
      </c>
      <c r="H37" s="16"/>
      <c r="I37" s="16"/>
      <c r="J37" s="42"/>
    </row>
    <row r="38" spans="1:10" x14ac:dyDescent="0.25">
      <c r="A38" s="7">
        <v>31</v>
      </c>
      <c r="B38" s="7"/>
      <c r="C38" s="19"/>
      <c r="D38" s="17"/>
      <c r="E38" s="7"/>
      <c r="F38" s="13" t="e">
        <v>#N/A</v>
      </c>
      <c r="G38" s="12" t="e">
        <v>#N/A</v>
      </c>
      <c r="H38" s="16"/>
      <c r="I38" s="16"/>
      <c r="J38" s="42"/>
    </row>
    <row r="39" spans="1:10" x14ac:dyDescent="0.25">
      <c r="A39" s="7">
        <v>32</v>
      </c>
      <c r="B39" s="7"/>
      <c r="C39" s="19"/>
      <c r="D39" s="17"/>
      <c r="E39" s="7"/>
      <c r="F39" s="13" t="e">
        <v>#N/A</v>
      </c>
      <c r="G39" s="12" t="e">
        <v>#N/A</v>
      </c>
      <c r="H39" s="16"/>
      <c r="I39" s="16"/>
      <c r="J39" s="42"/>
    </row>
    <row r="40" spans="1:10" x14ac:dyDescent="0.25">
      <c r="A40" s="7">
        <v>33</v>
      </c>
      <c r="B40" s="7"/>
      <c r="C40" s="19"/>
      <c r="D40" s="17"/>
      <c r="E40" s="7"/>
      <c r="F40" s="13" t="e">
        <v>#N/A</v>
      </c>
      <c r="G40" s="12" t="e">
        <v>#N/A</v>
      </c>
      <c r="H40" s="16"/>
      <c r="I40" s="16"/>
      <c r="J40" s="42"/>
    </row>
    <row r="41" spans="1:10" x14ac:dyDescent="0.25">
      <c r="A41" s="7">
        <v>34</v>
      </c>
      <c r="B41" s="7"/>
      <c r="C41" s="19"/>
      <c r="D41" s="17"/>
      <c r="E41" s="7"/>
      <c r="F41" s="13" t="e">
        <v>#N/A</v>
      </c>
      <c r="G41" s="12" t="e">
        <v>#N/A</v>
      </c>
      <c r="H41" s="16"/>
      <c r="I41" s="16"/>
      <c r="J41" s="42"/>
    </row>
    <row r="42" spans="1:10" x14ac:dyDescent="0.25">
      <c r="A42" s="7">
        <v>35</v>
      </c>
      <c r="B42" s="7"/>
      <c r="C42" s="19"/>
      <c r="D42" s="17"/>
      <c r="E42" s="7"/>
      <c r="F42" s="13" t="e">
        <v>#N/A</v>
      </c>
      <c r="G42" s="12" t="e">
        <v>#N/A</v>
      </c>
      <c r="H42" s="16"/>
      <c r="I42" s="16"/>
      <c r="J42" s="42"/>
    </row>
    <row r="43" spans="1:10" x14ac:dyDescent="0.25">
      <c r="A43" s="7">
        <v>36</v>
      </c>
      <c r="B43" s="7"/>
      <c r="C43" s="19"/>
      <c r="D43" s="17"/>
      <c r="E43" s="7"/>
      <c r="F43" s="13" t="e">
        <v>#N/A</v>
      </c>
      <c r="G43" s="12" t="e">
        <v>#N/A</v>
      </c>
      <c r="H43" s="16"/>
      <c r="I43" s="16"/>
      <c r="J43" s="42"/>
    </row>
    <row r="44" spans="1:10" x14ac:dyDescent="0.25">
      <c r="A44" s="7">
        <v>37</v>
      </c>
      <c r="B44" s="7"/>
      <c r="C44" s="19"/>
      <c r="D44" s="17"/>
      <c r="E44" s="7"/>
      <c r="F44" s="13" t="e">
        <v>#N/A</v>
      </c>
      <c r="G44" s="12" t="e">
        <v>#N/A</v>
      </c>
      <c r="H44" s="16"/>
      <c r="I44" s="16"/>
      <c r="J44" s="42"/>
    </row>
    <row r="45" spans="1:10" x14ac:dyDescent="0.25">
      <c r="A45" s="7">
        <v>38</v>
      </c>
      <c r="B45" s="7"/>
      <c r="C45" s="19"/>
      <c r="D45" s="17"/>
      <c r="E45" s="7"/>
      <c r="F45" s="13" t="e">
        <v>#N/A</v>
      </c>
      <c r="G45" s="12" t="e">
        <v>#N/A</v>
      </c>
      <c r="H45" s="16"/>
      <c r="I45" s="16"/>
      <c r="J45" s="42"/>
    </row>
    <row r="46" spans="1:10" x14ac:dyDescent="0.25">
      <c r="A46" s="7">
        <v>39</v>
      </c>
      <c r="B46" s="7"/>
      <c r="C46" s="19"/>
      <c r="D46" s="17"/>
      <c r="E46" s="7"/>
      <c r="F46" s="13" t="e">
        <v>#N/A</v>
      </c>
      <c r="G46" s="12" t="e">
        <v>#N/A</v>
      </c>
      <c r="H46" s="16"/>
      <c r="I46" s="16"/>
      <c r="J46" s="42"/>
    </row>
    <row r="47" spans="1:10" x14ac:dyDescent="0.25">
      <c r="A47" s="7">
        <v>40</v>
      </c>
      <c r="B47" s="7"/>
      <c r="C47" s="19"/>
      <c r="D47" s="17"/>
      <c r="E47" s="7"/>
      <c r="F47" s="13" t="e">
        <v>#N/A</v>
      </c>
      <c r="G47" s="12" t="e">
        <v>#N/A</v>
      </c>
      <c r="H47" s="16"/>
      <c r="I47" s="16"/>
      <c r="J47" s="42"/>
    </row>
    <row r="48" spans="1:10" x14ac:dyDescent="0.25">
      <c r="A48" s="7">
        <v>41</v>
      </c>
      <c r="B48" s="7"/>
      <c r="C48" s="19"/>
      <c r="D48" s="17"/>
      <c r="E48" s="7"/>
      <c r="F48" s="13" t="e">
        <v>#N/A</v>
      </c>
      <c r="G48" s="12" t="e">
        <v>#N/A</v>
      </c>
      <c r="H48" s="16"/>
      <c r="I48" s="16"/>
      <c r="J48" s="42"/>
    </row>
    <row r="49" spans="1:10" x14ac:dyDescent="0.25">
      <c r="A49" s="7">
        <v>42</v>
      </c>
      <c r="B49" s="7"/>
      <c r="C49" s="19"/>
      <c r="D49" s="17"/>
      <c r="E49" s="7"/>
      <c r="F49" s="13" t="e">
        <v>#N/A</v>
      </c>
      <c r="G49" s="12" t="e">
        <v>#N/A</v>
      </c>
      <c r="H49" s="16"/>
      <c r="I49" s="16"/>
      <c r="J49" s="42"/>
    </row>
    <row r="50" spans="1:10" x14ac:dyDescent="0.25">
      <c r="A50" s="7">
        <v>43</v>
      </c>
      <c r="B50" s="7"/>
      <c r="C50" s="19"/>
      <c r="D50" s="17"/>
      <c r="E50" s="7"/>
      <c r="F50" s="13" t="e">
        <v>#N/A</v>
      </c>
      <c r="G50" s="12" t="e">
        <v>#N/A</v>
      </c>
      <c r="H50" s="16"/>
      <c r="I50" s="16"/>
      <c r="J50" s="42"/>
    </row>
    <row r="51" spans="1:10" x14ac:dyDescent="0.25">
      <c r="A51" s="7">
        <v>44</v>
      </c>
      <c r="B51" s="7"/>
      <c r="C51" s="19"/>
      <c r="D51" s="17"/>
      <c r="E51" s="7"/>
      <c r="F51" s="13" t="e">
        <v>#N/A</v>
      </c>
      <c r="G51" s="12" t="e">
        <v>#N/A</v>
      </c>
      <c r="H51" s="16"/>
      <c r="I51" s="16"/>
      <c r="J51" s="42"/>
    </row>
    <row r="52" spans="1:10" x14ac:dyDescent="0.25">
      <c r="A52" s="7">
        <v>45</v>
      </c>
      <c r="B52" s="7"/>
      <c r="C52" s="19"/>
      <c r="D52" s="17"/>
      <c r="E52" s="7"/>
      <c r="F52" s="13" t="e">
        <v>#N/A</v>
      </c>
      <c r="G52" s="12" t="e">
        <v>#N/A</v>
      </c>
      <c r="H52" s="16"/>
      <c r="I52" s="16"/>
      <c r="J52" s="42"/>
    </row>
    <row r="53" spans="1:10" x14ac:dyDescent="0.25">
      <c r="A53" s="7">
        <v>46</v>
      </c>
      <c r="B53" s="7"/>
      <c r="C53" s="19"/>
      <c r="D53" s="17"/>
      <c r="E53" s="7"/>
      <c r="F53" s="13" t="e">
        <v>#N/A</v>
      </c>
      <c r="G53" s="12" t="e">
        <v>#N/A</v>
      </c>
      <c r="H53" s="16"/>
      <c r="I53" s="16"/>
      <c r="J53" s="42"/>
    </row>
    <row r="54" spans="1:10" x14ac:dyDescent="0.25">
      <c r="A54" s="7">
        <v>47</v>
      </c>
      <c r="B54" s="7"/>
      <c r="C54" s="19"/>
      <c r="D54" s="17"/>
      <c r="E54" s="7"/>
      <c r="F54" s="13" t="e">
        <v>#N/A</v>
      </c>
      <c r="G54" s="12" t="e">
        <v>#N/A</v>
      </c>
      <c r="H54" s="16"/>
      <c r="I54" s="16"/>
      <c r="J54" s="42"/>
    </row>
    <row r="55" spans="1:10" x14ac:dyDescent="0.25">
      <c r="A55" s="7">
        <v>48</v>
      </c>
      <c r="B55" s="7"/>
      <c r="C55" s="19"/>
      <c r="D55" s="17"/>
      <c r="E55" s="7"/>
      <c r="F55" s="13" t="e">
        <v>#N/A</v>
      </c>
      <c r="G55" s="12" t="e">
        <v>#N/A</v>
      </c>
      <c r="H55" s="16"/>
      <c r="I55" s="16"/>
      <c r="J55" s="42"/>
    </row>
    <row r="56" spans="1:10" x14ac:dyDescent="0.25">
      <c r="A56" s="7">
        <v>49</v>
      </c>
      <c r="B56" s="7"/>
      <c r="C56" s="19"/>
      <c r="D56" s="17"/>
      <c r="E56" s="7"/>
      <c r="F56" s="13" t="e">
        <v>#N/A</v>
      </c>
      <c r="G56" s="12" t="e">
        <v>#N/A</v>
      </c>
      <c r="H56" s="16"/>
      <c r="I56" s="16"/>
      <c r="J56" s="42"/>
    </row>
    <row r="57" spans="1:10" x14ac:dyDescent="0.25">
      <c r="A57" s="7">
        <v>50</v>
      </c>
      <c r="B57" s="7"/>
      <c r="C57" s="19"/>
      <c r="D57" s="17"/>
      <c r="E57" s="7"/>
      <c r="F57" s="13" t="e">
        <v>#N/A</v>
      </c>
      <c r="G57" s="12" t="e">
        <v>#N/A</v>
      </c>
      <c r="H57" s="16"/>
      <c r="I57" s="16"/>
      <c r="J57" s="43"/>
    </row>
  </sheetData>
  <mergeCells count="5">
    <mergeCell ref="A1:C1"/>
    <mergeCell ref="A3:D3"/>
    <mergeCell ref="A4:D4"/>
    <mergeCell ref="A5:D5"/>
    <mergeCell ref="J8:J57"/>
  </mergeCells>
  <conditionalFormatting sqref="G8:H57">
    <cfRule type="containsErrors" dxfId="18" priority="19" stopIfTrue="1">
      <formula>ISERROR(G8)</formula>
    </cfRule>
  </conditionalFormatting>
  <conditionalFormatting sqref="A4:A5">
    <cfRule type="containsErrors" dxfId="17" priority="18" stopIfTrue="1">
      <formula>ISERROR(A4)</formula>
    </cfRule>
  </conditionalFormatting>
  <conditionalFormatting sqref="I8:I57">
    <cfRule type="containsErrors" dxfId="16" priority="17" stopIfTrue="1">
      <formula>ISERROR(I8)</formula>
    </cfRule>
  </conditionalFormatting>
  <conditionalFormatting sqref="F8:F57">
    <cfRule type="containsErrors" dxfId="15" priority="16" stopIfTrue="1">
      <formula>ISERROR(F8)</formula>
    </cfRule>
  </conditionalFormatting>
  <conditionalFormatting sqref="F9:F57">
    <cfRule type="containsErrors" dxfId="14" priority="15" stopIfTrue="1">
      <formula>ISERROR(F9)</formula>
    </cfRule>
  </conditionalFormatting>
  <conditionalFormatting sqref="G9:G57">
    <cfRule type="containsErrors" dxfId="13" priority="14" stopIfTrue="1">
      <formula>ISERROR(G9)</formula>
    </cfRule>
  </conditionalFormatting>
  <conditionalFormatting sqref="H9:H57">
    <cfRule type="containsErrors" dxfId="12" priority="13" stopIfTrue="1">
      <formula>ISERROR(H9)</formula>
    </cfRule>
  </conditionalFormatting>
  <conditionalFormatting sqref="G28:H28 H29:H31">
    <cfRule type="containsErrors" dxfId="11" priority="12" stopIfTrue="1">
      <formula>ISERROR(G28)</formula>
    </cfRule>
  </conditionalFormatting>
  <conditionalFormatting sqref="F28">
    <cfRule type="containsErrors" dxfId="10" priority="11" stopIfTrue="1">
      <formula>ISERROR(F28)</formula>
    </cfRule>
  </conditionalFormatting>
  <conditionalFormatting sqref="F29:F31">
    <cfRule type="containsErrors" dxfId="9" priority="10" stopIfTrue="1">
      <formula>ISERROR(F29)</formula>
    </cfRule>
  </conditionalFormatting>
  <conditionalFormatting sqref="G29:G31">
    <cfRule type="containsErrors" dxfId="8" priority="9" stopIfTrue="1">
      <formula>ISERROR(G29)</formula>
    </cfRule>
  </conditionalFormatting>
  <conditionalFormatting sqref="H29:H31">
    <cfRule type="containsErrors" dxfId="7" priority="8" stopIfTrue="1">
      <formula>ISERROR(H29)</formula>
    </cfRule>
  </conditionalFormatting>
  <conditionalFormatting sqref="G8:H57">
    <cfRule type="containsErrors" dxfId="6" priority="7" stopIfTrue="1">
      <formula>ISERROR(G8)</formula>
    </cfRule>
  </conditionalFormatting>
  <conditionalFormatting sqref="F8:F57">
    <cfRule type="containsErrors" dxfId="5" priority="6" stopIfTrue="1">
      <formula>ISERROR(F8)</formula>
    </cfRule>
  </conditionalFormatting>
  <conditionalFormatting sqref="I8:I57">
    <cfRule type="containsErrors" dxfId="4" priority="5" stopIfTrue="1">
      <formula>ISERROR(I8)</formula>
    </cfRule>
  </conditionalFormatting>
  <conditionalFormatting sqref="I9:I57">
    <cfRule type="containsErrors" dxfId="3" priority="4" stopIfTrue="1">
      <formula>ISERROR(I9)</formula>
    </cfRule>
  </conditionalFormatting>
  <conditionalFormatting sqref="I28:I31">
    <cfRule type="containsErrors" dxfId="2" priority="3" stopIfTrue="1">
      <formula>ISERROR(I28)</formula>
    </cfRule>
  </conditionalFormatting>
  <conditionalFormatting sqref="I29:I31">
    <cfRule type="containsErrors" dxfId="1" priority="2" stopIfTrue="1">
      <formula>ISERROR(I29)</formula>
    </cfRule>
  </conditionalFormatting>
  <conditionalFormatting sqref="I8:I57">
    <cfRule type="containsErrors" dxfId="0" priority="1" stopIfTrue="1">
      <formula>ISERROR(I8)</formula>
    </cfRule>
  </conditionalFormatting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F838439DC5F24CB405AFD8518311EE" ma:contentTypeVersion="17" ma:contentTypeDescription="Create a new document." ma:contentTypeScope="" ma:versionID="5cbdc3a7406978def6b6a3fc43512356">
  <xsd:schema xmlns:xsd="http://www.w3.org/2001/XMLSchema" xmlns:xs="http://www.w3.org/2001/XMLSchema" xmlns:p="http://schemas.microsoft.com/office/2006/metadata/properties" xmlns:ns1="http://schemas.microsoft.com/sharepoint/v3" xmlns:ns2="542b4b79-a031-41b0-8339-78e437340b55" xmlns:ns3="56810815-8df0-4f10-8da7-34164765fbe3" xmlns:ns4="b8292d32-e292-4a14-9bfe-c35b48abd186" targetNamespace="http://schemas.microsoft.com/office/2006/metadata/properties" ma:root="true" ma:fieldsID="99dbded4f9028adf0da96af7e260eb09" ns1:_="" ns2:_="" ns3:_="" ns4:_="">
    <xsd:import namespace="http://schemas.microsoft.com/sharepoint/v3"/>
    <xsd:import namespace="542b4b79-a031-41b0-8339-78e437340b55"/>
    <xsd:import namespace="56810815-8df0-4f10-8da7-34164765fbe3"/>
    <xsd:import namespace="b8292d32-e292-4a14-9bfe-c35b48abd1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4:SharedWithUsers" minOccurs="0"/>
                <xsd:element ref="ns4:SharedWithDetails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2b4b79-a031-41b0-8339-78e437340b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e63edab7-d5f1-4c02-989a-0e8ed7c6c38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10815-8df0-4f10-8da7-34164765fbe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8ab090a-7757-448b-8546-017e94c367aa}" ma:internalName="TaxCatchAll" ma:showField="CatchAllData" ma:web="b8292d32-e292-4a14-9bfe-c35b48abd1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292d32-e292-4a14-9bfe-c35b48abd18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F678FC-8D0B-4532-A4CB-CE4254E405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42b4b79-a031-41b0-8339-78e437340b55"/>
    <ds:schemaRef ds:uri="56810815-8df0-4f10-8da7-34164765fbe3"/>
    <ds:schemaRef ds:uri="b8292d32-e292-4a14-9bfe-c35b48abd1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37EF30-8154-4A4A-8337-CBA469964E40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59b6cd5-d141-4a33-8bf1-0ca04484304f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Erfassungsblatt</vt:lpstr>
      <vt:lpstr>Abfallcode</vt:lpstr>
      <vt:lpstr>BSPs</vt:lpstr>
      <vt:lpstr>Produkte</vt:lpstr>
      <vt:lpstr>Releasenotes</vt:lpstr>
      <vt:lpstr>Parameter</vt:lpstr>
      <vt:lpstr>Mail_Ausscheidung</vt:lpstr>
      <vt:lpstr>Mail_Ausscheidung_HILF</vt:lpstr>
      <vt:lpstr>Mail_Entsorgung</vt:lpstr>
      <vt:lpstr>BSPnn</vt:lpstr>
      <vt:lpstr>Erfassungsblatt!Print_Area</vt:lpstr>
      <vt:lpstr>Produkt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Jungmann, Gerhard</dc:creator>
  <cp:lastModifiedBy>Krenn, Werner (SMO IT EMEA2 CE)</cp:lastModifiedBy>
  <cp:lastPrinted>2016-11-11T09:05:31Z</cp:lastPrinted>
  <dcterms:created xsi:type="dcterms:W3CDTF">2016-07-06T17:10:38Z</dcterms:created>
  <dcterms:modified xsi:type="dcterms:W3CDTF">2024-02-28T08:37:38Z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9" name="MSIP_Label_a59b6cd5-d141-4a33-8bf1-0ca04484304f_Enabled">
    <vt:lpwstr>true</vt:lpwstr>
  </property>
  <property fmtid="{D5CDD505-2E9C-101B-9397-08002B2CF9AE}" pid="10" name="MSIP_Label_a59b6cd5-d141-4a33-8bf1-0ca04484304f_SetDate">
    <vt:lpwstr>2021-08-05T07:14:41Z</vt:lpwstr>
  </property>
  <property fmtid="{D5CDD505-2E9C-101B-9397-08002B2CF9AE}" pid="11" name="MSIP_Label_a59b6cd5-d141-4a33-8bf1-0ca04484304f_Method">
    <vt:lpwstr>Standard</vt:lpwstr>
  </property>
  <property fmtid="{D5CDD505-2E9C-101B-9397-08002B2CF9AE}" pid="12" name="MSIP_Label_a59b6cd5-d141-4a33-8bf1-0ca04484304f_Name">
    <vt:lpwstr>restricted-default</vt:lpwstr>
  </property>
  <property fmtid="{D5CDD505-2E9C-101B-9397-08002B2CF9AE}" pid="13" name="MSIP_Label_a59b6cd5-d141-4a33-8bf1-0ca04484304f_SiteId">
    <vt:lpwstr>38ae3bcd-9579-4fd4-adda-b42e1495d55a</vt:lpwstr>
  </property>
  <property fmtid="{D5CDD505-2E9C-101B-9397-08002B2CF9AE}" pid="14" name="MSIP_Label_a59b6cd5-d141-4a33-8bf1-0ca04484304f_ActionId">
    <vt:lpwstr>48cd5b54-ca62-4d8d-816c-3f5601ff4b6b</vt:lpwstr>
  </property>
  <property fmtid="{D5CDD505-2E9C-101B-9397-08002B2CF9AE}" pid="15" name="MSIP_Label_a59b6cd5-d141-4a33-8bf1-0ca04484304f_ContentBits">
    <vt:lpwstr>0</vt:lpwstr>
  </property>
  <property fmtid="{D5CDD505-2E9C-101B-9397-08002B2CF9AE}" pid="16" name="Document_Confidentiality">
    <vt:lpwstr>Restricted</vt:lpwstr>
  </property>
</Properties>
</file>