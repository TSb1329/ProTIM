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\\I4next-s24\d\Projekte\20240403_RSG\"/>
    </mc:Choice>
  </mc:AlternateContent>
  <xr:revisionPtr revIDLastSave="0" documentId="13_ncr:1_{79BF64FC-65A7-40AB-8770-DEE009471D35}" xr6:coauthVersionLast="36" xr6:coauthVersionMax="47" xr10:uidLastSave="{00000000-0000-0000-0000-000000000000}"/>
  <bookViews>
    <workbookView xWindow="57480" yWindow="-9675" windowWidth="29040" windowHeight="17520" activeTab="1" xr2:uid="{70DA3475-B2F4-4B6E-B958-9B076EC3872D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2" l="1"/>
  <c r="D49" i="2"/>
  <c r="D50" i="2"/>
  <c r="D51" i="2"/>
  <c r="D52" i="2"/>
  <c r="D53" i="2"/>
  <c r="D54" i="2"/>
  <c r="D55" i="2"/>
  <c r="D56" i="2"/>
  <c r="D47" i="2"/>
  <c r="K48" i="2"/>
  <c r="K49" i="2"/>
  <c r="K50" i="2"/>
  <c r="K51" i="2"/>
  <c r="K52" i="2"/>
  <c r="K53" i="2"/>
  <c r="K54" i="2"/>
  <c r="K55" i="2"/>
  <c r="K56" i="2"/>
  <c r="K47" i="2"/>
  <c r="M34" i="2"/>
  <c r="R35" i="2"/>
  <c r="S35" i="2" s="1"/>
  <c r="T35" i="2" s="1"/>
  <c r="R37" i="2"/>
  <c r="S37" i="2" s="1"/>
  <c r="T37" i="2" s="1"/>
  <c r="M39" i="2"/>
  <c r="R41" i="2"/>
  <c r="R42" i="2"/>
  <c r="S42" i="2" s="1"/>
  <c r="T42" i="2" s="1"/>
  <c r="R33" i="2"/>
  <c r="S33" i="2" s="1"/>
  <c r="T33" i="2" s="1"/>
  <c r="M36" i="2"/>
  <c r="N36" i="2" s="1"/>
  <c r="K39" i="2"/>
  <c r="K40" i="2"/>
  <c r="M41" i="2"/>
  <c r="N41" i="2" s="1"/>
  <c r="M33" i="2"/>
  <c r="K42" i="2"/>
  <c r="R40" i="2"/>
  <c r="S40" i="2" s="1"/>
  <c r="T40" i="2" s="1"/>
  <c r="U40" i="2" s="1"/>
  <c r="M40" i="2"/>
  <c r="N40" i="2" s="1"/>
  <c r="R38" i="2"/>
  <c r="S38" i="2" s="1"/>
  <c r="T38" i="2" s="1"/>
  <c r="M38" i="2"/>
  <c r="N38" i="2" s="1"/>
  <c r="K38" i="2"/>
  <c r="K37" i="2"/>
  <c r="R36" i="2"/>
  <c r="K36" i="2"/>
  <c r="K35" i="2"/>
  <c r="K34" i="2"/>
  <c r="K33" i="2"/>
  <c r="R20" i="2"/>
  <c r="S20" i="2" s="1"/>
  <c r="R21" i="2"/>
  <c r="S21" i="2" s="1"/>
  <c r="R22" i="2"/>
  <c r="R23" i="2"/>
  <c r="S23" i="2" s="1"/>
  <c r="T23" i="2" s="1"/>
  <c r="U23" i="2" s="1"/>
  <c r="R24" i="2"/>
  <c r="R25" i="2"/>
  <c r="S25" i="2" s="1"/>
  <c r="R26" i="2"/>
  <c r="S26" i="2" s="1"/>
  <c r="R27" i="2"/>
  <c r="S27" i="2" s="1"/>
  <c r="T27" i="2" s="1"/>
  <c r="U27" i="2" s="1"/>
  <c r="R28" i="2"/>
  <c r="R29" i="2"/>
  <c r="S29" i="2" s="1"/>
  <c r="S22" i="2"/>
  <c r="S24" i="2"/>
  <c r="T24" i="2" s="1"/>
  <c r="U24" i="2" s="1"/>
  <c r="S28" i="2"/>
  <c r="T28" i="2" s="1"/>
  <c r="U28" i="2" s="1"/>
  <c r="M29" i="2"/>
  <c r="N29" i="2" s="1"/>
  <c r="K29" i="2"/>
  <c r="M28" i="2"/>
  <c r="N28" i="2" s="1"/>
  <c r="K28" i="2"/>
  <c r="M27" i="2"/>
  <c r="N27" i="2" s="1"/>
  <c r="K27" i="2"/>
  <c r="M26" i="2"/>
  <c r="N26" i="2" s="1"/>
  <c r="K26" i="2"/>
  <c r="M25" i="2"/>
  <c r="N25" i="2" s="1"/>
  <c r="K25" i="2"/>
  <c r="M24" i="2"/>
  <c r="N24" i="2" s="1"/>
  <c r="K24" i="2"/>
  <c r="M23" i="2"/>
  <c r="N23" i="2" s="1"/>
  <c r="K23" i="2"/>
  <c r="M22" i="2"/>
  <c r="N22" i="2" s="1"/>
  <c r="K22" i="2"/>
  <c r="M21" i="2"/>
  <c r="N21" i="2" s="1"/>
  <c r="K21" i="2"/>
  <c r="M20" i="2"/>
  <c r="N20" i="2" s="1"/>
  <c r="K20" i="2"/>
  <c r="T4" i="2"/>
  <c r="U4" i="2" s="1"/>
  <c r="S4" i="2"/>
  <c r="S6" i="2"/>
  <c r="T6" i="2" s="1"/>
  <c r="U6" i="2" s="1"/>
  <c r="S8" i="2"/>
  <c r="T8" i="2" s="1"/>
  <c r="U8" i="2" s="1"/>
  <c r="S10" i="2"/>
  <c r="T10" i="2" s="1"/>
  <c r="U10" i="2" s="1"/>
  <c r="S2" i="2"/>
  <c r="T2" i="2" s="1"/>
  <c r="U2" i="2" s="1"/>
  <c r="R4" i="2"/>
  <c r="R5" i="2"/>
  <c r="S5" i="2" s="1"/>
  <c r="T5" i="2" s="1"/>
  <c r="U5" i="2" s="1"/>
  <c r="R6" i="2"/>
  <c r="R7" i="2"/>
  <c r="S7" i="2" s="1"/>
  <c r="T7" i="2" s="1"/>
  <c r="U7" i="2" s="1"/>
  <c r="R8" i="2"/>
  <c r="R9" i="2"/>
  <c r="S9" i="2" s="1"/>
  <c r="T9" i="2" s="1"/>
  <c r="U9" i="2" s="1"/>
  <c r="R10" i="2"/>
  <c r="R11" i="2"/>
  <c r="S11" i="2" s="1"/>
  <c r="T11" i="2" s="1"/>
  <c r="U11" i="2" s="1"/>
  <c r="R3" i="2"/>
  <c r="S3" i="2" s="1"/>
  <c r="T3" i="2" s="1"/>
  <c r="U3" i="2" s="1"/>
  <c r="R2" i="2"/>
  <c r="N4" i="2"/>
  <c r="N6" i="2"/>
  <c r="N8" i="2"/>
  <c r="N10" i="2"/>
  <c r="M3" i="2"/>
  <c r="N3" i="2" s="1"/>
  <c r="M4" i="2"/>
  <c r="M5" i="2"/>
  <c r="N5" i="2" s="1"/>
  <c r="M6" i="2"/>
  <c r="M7" i="2"/>
  <c r="N7" i="2" s="1"/>
  <c r="M8" i="2"/>
  <c r="M9" i="2"/>
  <c r="N9" i="2" s="1"/>
  <c r="M10" i="2"/>
  <c r="M11" i="2"/>
  <c r="N11" i="2" s="1"/>
  <c r="M2" i="2"/>
  <c r="N2" i="2" s="1"/>
  <c r="K3" i="2"/>
  <c r="K4" i="2"/>
  <c r="K5" i="2"/>
  <c r="K6" i="2"/>
  <c r="K7" i="2"/>
  <c r="K8" i="2"/>
  <c r="K9" i="2"/>
  <c r="K10" i="2"/>
  <c r="K11" i="2"/>
  <c r="K2" i="2"/>
  <c r="M42" i="2" l="1"/>
  <c r="N42" i="2" s="1"/>
  <c r="R39" i="2"/>
  <c r="S39" i="2" s="1"/>
  <c r="T39" i="2" s="1"/>
  <c r="U39" i="2" s="1"/>
  <c r="R34" i="2"/>
  <c r="S34" i="2" s="1"/>
  <c r="T34" i="2" s="1"/>
  <c r="U34" i="2" s="1"/>
  <c r="M35" i="2"/>
  <c r="N35" i="2" s="1"/>
  <c r="U38" i="2"/>
  <c r="U42" i="2"/>
  <c r="N34" i="2"/>
  <c r="U35" i="2"/>
  <c r="U37" i="2"/>
  <c r="N39" i="2"/>
  <c r="U33" i="2"/>
  <c r="N33" i="2"/>
  <c r="M37" i="2"/>
  <c r="N37" i="2" s="1"/>
  <c r="S41" i="2"/>
  <c r="T41" i="2" s="1"/>
  <c r="U41" i="2" s="1"/>
  <c r="K41" i="2"/>
  <c r="S36" i="2"/>
  <c r="T36" i="2" s="1"/>
  <c r="U36" i="2" s="1"/>
  <c r="T26" i="2"/>
  <c r="U26" i="2" s="1"/>
  <c r="T22" i="2"/>
  <c r="U22" i="2" s="1"/>
  <c r="T29" i="2"/>
  <c r="U29" i="2" s="1"/>
  <c r="T25" i="2"/>
  <c r="U25" i="2" s="1"/>
  <c r="T21" i="2"/>
  <c r="U21" i="2" s="1"/>
  <c r="T20" i="2"/>
  <c r="U20" i="2" s="1"/>
  <c r="K13" i="2"/>
  <c r="L4" i="1"/>
  <c r="L5" i="1"/>
  <c r="L6" i="1"/>
  <c r="L7" i="1"/>
  <c r="L8" i="1"/>
  <c r="L9" i="1"/>
  <c r="L10" i="1"/>
  <c r="L12" i="1"/>
  <c r="L3" i="1"/>
  <c r="N4" i="1"/>
  <c r="N5" i="1"/>
  <c r="N6" i="1"/>
  <c r="N7" i="1"/>
  <c r="N8" i="1"/>
  <c r="N9" i="1"/>
  <c r="N10" i="1"/>
  <c r="N11" i="1"/>
  <c r="N12" i="1"/>
  <c r="N13" i="1"/>
  <c r="N3" i="1"/>
</calcChain>
</file>

<file path=xl/sharedStrings.xml><?xml version="1.0" encoding="utf-8"?>
<sst xmlns="http://schemas.openxmlformats.org/spreadsheetml/2006/main" count="185" uniqueCount="36">
  <si>
    <t>HP EliteBook 830 G5</t>
  </si>
  <si>
    <t>i7-8650U</t>
  </si>
  <si>
    <t>16 GB RAM</t>
  </si>
  <si>
    <t>500 GB SSD</t>
  </si>
  <si>
    <t>13,3"</t>
  </si>
  <si>
    <t>32 GB RAM</t>
  </si>
  <si>
    <t>HP EliteBook 830 G6</t>
  </si>
  <si>
    <t>HP EliteBook 850 G5</t>
  </si>
  <si>
    <t>15,6"</t>
  </si>
  <si>
    <t>1 TB SSD</t>
  </si>
  <si>
    <t>HP EliteBook 850 G6</t>
  </si>
  <si>
    <t>HP ZBook 15 G5</t>
  </si>
  <si>
    <t>i7-8850H CPU @ 2.60GHz</t>
  </si>
  <si>
    <t>HP ZBook 15 G6</t>
  </si>
  <si>
    <t>i7-9850H CPU @ 2.60GHz</t>
  </si>
  <si>
    <t>Preise vom September 2023</t>
  </si>
  <si>
    <t>Q2 2025</t>
  </si>
  <si>
    <t>VK Preise Alex 09/23</t>
  </si>
  <si>
    <t>-UST; -50; 50%</t>
  </si>
  <si>
    <t>HP EliteBook 850 G5 Touch</t>
  </si>
  <si>
    <t xml:space="preserve"> 50%</t>
  </si>
  <si>
    <t>VK MA Aktion 01/24</t>
  </si>
  <si>
    <t>VK MA Aktion 10/23 mit 250GB SSD</t>
  </si>
  <si>
    <t>MA Aktionen</t>
  </si>
  <si>
    <t>VK MA Aktion 10/23 mit 500GB SSD 4k Auflösung</t>
  </si>
  <si>
    <t>Modell</t>
  </si>
  <si>
    <t>Proz</t>
  </si>
  <si>
    <t>Speicher</t>
  </si>
  <si>
    <t>Festplatte</t>
  </si>
  <si>
    <t>Display</t>
  </si>
  <si>
    <t>Anzahl</t>
  </si>
  <si>
    <t>Ankaufspreis exkl. Ust</t>
  </si>
  <si>
    <t>Verkaufspreis an die Mitarbieter exkl. Ust</t>
  </si>
  <si>
    <t>Verkaufspreis an die Mitarbieter inkl. Ust</t>
  </si>
  <si>
    <t>vorher</t>
  </si>
  <si>
    <t>jetzt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</si>
</sst>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165" fontId="3" fillId="0" borderId="0" xfId="1" applyNumberFormat="1" applyFont="1"/>
    <xf numFmtId="0" fontId="0" fillId="0" borderId="0" xfId="0" quotePrefix="1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8" fontId="0" fillId="0" borderId="0" xfId="0" applyNumberFormat="1"/>
    <xf numFmtId="8" fontId="4" fillId="0" borderId="4" xfId="0" applyNumberFormat="1" applyFont="1" applyBorder="1" applyAlignment="1">
      <alignment horizontal="right" vertical="center"/>
    </xf>
    <xf numFmtId="8" fontId="5" fillId="0" borderId="4" xfId="0" applyNumberFormat="1" applyFont="1" applyBorder="1" applyAlignment="1">
      <alignment horizontal="right" vertical="center"/>
    </xf>
    <xf numFmtId="8" fontId="6" fillId="0" borderId="4" xfId="0" applyNumberFormat="1" applyFont="1" applyBorder="1" applyAlignment="1">
      <alignment horizontal="right" vertical="center"/>
    </xf>
    <xf numFmtId="10" fontId="0" fillId="0" borderId="0" xfId="0" applyNumberFormat="1"/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E82D-BCC4-4AE8-ADC6-914F325820A8}">
  <dimension ref="A1:N20"/>
  <sheetViews>
    <sheetView workbookViewId="0">
      <selection activeCell="K14" sqref="K14"/>
    </sheetView>
  </sheetViews>
  <sheetFormatPr baseColWidth="10" defaultRowHeight="14.25"/>
  <cols>
    <col min="1" max="1" width="22.375" bestFit="1" customWidth="1"/>
    <col min="2" max="2" width="21" bestFit="1" customWidth="1"/>
    <col min="7" max="7" width="2" customWidth="1"/>
    <col min="9" max="9" width="11.5" customWidth="1"/>
    <col min="10" max="10" width="16.25" bestFit="1" customWidth="1"/>
    <col min="11" max="11" width="28.375" bestFit="1" customWidth="1"/>
    <col min="12" max="12" width="12.875" bestFit="1" customWidth="1"/>
    <col min="13" max="13" width="16.875" bestFit="1" customWidth="1"/>
  </cols>
  <sheetData>
    <row r="1" spans="1:14">
      <c r="H1" t="s">
        <v>15</v>
      </c>
      <c r="J1" t="s">
        <v>23</v>
      </c>
    </row>
    <row r="2" spans="1:14" ht="15" thickBot="1">
      <c r="H2">
        <v>2024</v>
      </c>
      <c r="I2" t="s">
        <v>16</v>
      </c>
      <c r="L2" s="10" t="s">
        <v>18</v>
      </c>
      <c r="M2" t="s">
        <v>17</v>
      </c>
      <c r="N2" s="10" t="s">
        <v>20</v>
      </c>
    </row>
    <row r="3" spans="1:14" ht="15.75" thickBot="1">
      <c r="A3" s="1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4">
        <v>76</v>
      </c>
      <c r="H3" s="9">
        <v>70</v>
      </c>
      <c r="I3" s="9">
        <v>50</v>
      </c>
      <c r="J3" s="9">
        <v>280</v>
      </c>
      <c r="K3" t="s">
        <v>22</v>
      </c>
      <c r="L3" s="9">
        <f>IF(J3&gt;0,(J3/1.2-50)/2,0)</f>
        <v>91.666666666666671</v>
      </c>
      <c r="M3" s="9">
        <v>150</v>
      </c>
      <c r="N3" s="9">
        <f>0.5*M3</f>
        <v>75</v>
      </c>
    </row>
    <row r="4" spans="1:14" ht="15.75" thickBot="1">
      <c r="A4" s="5" t="s">
        <v>0</v>
      </c>
      <c r="B4" s="6" t="s">
        <v>1</v>
      </c>
      <c r="C4" s="7" t="s">
        <v>5</v>
      </c>
      <c r="D4" s="6" t="s">
        <v>3</v>
      </c>
      <c r="E4" s="6" t="s">
        <v>4</v>
      </c>
      <c r="F4" s="8">
        <v>18</v>
      </c>
      <c r="H4" s="9"/>
      <c r="I4" s="9"/>
      <c r="J4" s="9"/>
      <c r="K4" s="9"/>
      <c r="L4" s="9">
        <f t="shared" ref="L4:L10" si="0">IF(J4&gt;0,(J4/1.2-50)/2,0)</f>
        <v>0</v>
      </c>
      <c r="M4" s="9"/>
      <c r="N4" s="9">
        <f t="shared" ref="N4:N13" si="1">0.5*M4</f>
        <v>0</v>
      </c>
    </row>
    <row r="5" spans="1:14" ht="15.75" thickBot="1">
      <c r="A5" s="5" t="s">
        <v>6</v>
      </c>
      <c r="B5" s="6" t="s">
        <v>1</v>
      </c>
      <c r="C5" s="7" t="s">
        <v>2</v>
      </c>
      <c r="D5" s="6" t="s">
        <v>3</v>
      </c>
      <c r="E5" s="6" t="s">
        <v>4</v>
      </c>
      <c r="F5" s="8">
        <v>8</v>
      </c>
      <c r="H5" s="9">
        <v>75</v>
      </c>
      <c r="I5" s="9">
        <v>65</v>
      </c>
      <c r="J5" s="9"/>
      <c r="K5" s="9"/>
      <c r="L5" s="9">
        <f t="shared" si="0"/>
        <v>0</v>
      </c>
      <c r="M5" s="9">
        <v>150</v>
      </c>
      <c r="N5" s="9">
        <f t="shared" si="1"/>
        <v>75</v>
      </c>
    </row>
    <row r="6" spans="1:14" ht="15.75" thickBot="1">
      <c r="A6" s="5" t="s">
        <v>7</v>
      </c>
      <c r="B6" s="6" t="s">
        <v>1</v>
      </c>
      <c r="C6" s="7" t="s">
        <v>2</v>
      </c>
      <c r="D6" s="6" t="s">
        <v>3</v>
      </c>
      <c r="E6" s="6" t="s">
        <v>8</v>
      </c>
      <c r="F6" s="8">
        <v>125</v>
      </c>
      <c r="H6" s="9">
        <v>90</v>
      </c>
      <c r="I6" s="9">
        <v>75</v>
      </c>
      <c r="J6" s="9">
        <v>270</v>
      </c>
      <c r="K6" t="s">
        <v>21</v>
      </c>
      <c r="L6" s="9">
        <f t="shared" si="0"/>
        <v>87.5</v>
      </c>
      <c r="M6" s="9">
        <v>180</v>
      </c>
      <c r="N6" s="9">
        <f t="shared" si="1"/>
        <v>90</v>
      </c>
    </row>
    <row r="7" spans="1:14" ht="15.75" thickBot="1">
      <c r="A7" s="5" t="s">
        <v>7</v>
      </c>
      <c r="B7" s="6" t="s">
        <v>1</v>
      </c>
      <c r="C7" s="7" t="s">
        <v>5</v>
      </c>
      <c r="D7" s="6" t="s">
        <v>3</v>
      </c>
      <c r="E7" s="6" t="s">
        <v>8</v>
      </c>
      <c r="F7" s="8">
        <v>20</v>
      </c>
      <c r="H7" s="9"/>
      <c r="I7" s="9"/>
      <c r="J7" s="9"/>
      <c r="K7" s="9"/>
      <c r="L7" s="9">
        <f t="shared" si="0"/>
        <v>0</v>
      </c>
      <c r="M7" s="9"/>
      <c r="N7" s="9">
        <f t="shared" si="1"/>
        <v>0</v>
      </c>
    </row>
    <row r="8" spans="1:14" ht="15.75" thickBot="1">
      <c r="A8" s="5" t="s">
        <v>7</v>
      </c>
      <c r="B8" s="6" t="s">
        <v>1</v>
      </c>
      <c r="C8" s="7" t="s">
        <v>5</v>
      </c>
      <c r="D8" s="6" t="s">
        <v>9</v>
      </c>
      <c r="E8" s="6" t="s">
        <v>8</v>
      </c>
      <c r="F8" s="8">
        <v>154</v>
      </c>
      <c r="H8" s="9">
        <v>100</v>
      </c>
      <c r="I8" s="9">
        <v>80</v>
      </c>
      <c r="J8" s="9"/>
      <c r="K8" s="9"/>
      <c r="L8" s="9">
        <f t="shared" si="0"/>
        <v>0</v>
      </c>
      <c r="M8" s="9">
        <v>200</v>
      </c>
      <c r="N8" s="9">
        <f t="shared" si="1"/>
        <v>100</v>
      </c>
    </row>
    <row r="9" spans="1:14" ht="15.75" thickBot="1">
      <c r="A9" s="11" t="s">
        <v>19</v>
      </c>
      <c r="B9" s="12" t="s">
        <v>1</v>
      </c>
      <c r="C9" s="13" t="s">
        <v>5</v>
      </c>
      <c r="D9" s="12" t="s">
        <v>9</v>
      </c>
      <c r="E9" s="12" t="s">
        <v>8</v>
      </c>
      <c r="F9" s="14"/>
      <c r="H9" s="9">
        <v>100</v>
      </c>
      <c r="I9" s="9">
        <v>80</v>
      </c>
      <c r="J9" s="9"/>
      <c r="K9" s="9"/>
      <c r="L9" s="9">
        <f t="shared" si="0"/>
        <v>0</v>
      </c>
      <c r="M9" s="9">
        <v>200</v>
      </c>
      <c r="N9" s="9">
        <f t="shared" si="1"/>
        <v>100</v>
      </c>
    </row>
    <row r="10" spans="1:14" ht="15.75" thickBot="1">
      <c r="A10" s="5" t="s">
        <v>10</v>
      </c>
      <c r="B10" s="6" t="s">
        <v>1</v>
      </c>
      <c r="C10" s="7" t="s">
        <v>2</v>
      </c>
      <c r="D10" s="6" t="s">
        <v>3</v>
      </c>
      <c r="E10" s="6" t="s">
        <v>8</v>
      </c>
      <c r="F10" s="8">
        <v>12</v>
      </c>
      <c r="H10" s="9"/>
      <c r="I10" s="9"/>
      <c r="J10" s="9"/>
      <c r="K10" s="9"/>
      <c r="L10" s="9">
        <f t="shared" si="0"/>
        <v>0</v>
      </c>
      <c r="M10" s="9"/>
      <c r="N10" s="9">
        <f t="shared" si="1"/>
        <v>0</v>
      </c>
    </row>
    <row r="11" spans="1:14" ht="15.75" thickBot="1">
      <c r="A11" s="5" t="s">
        <v>10</v>
      </c>
      <c r="B11" s="6" t="s">
        <v>1</v>
      </c>
      <c r="C11" s="7" t="s">
        <v>5</v>
      </c>
      <c r="D11" s="6" t="s">
        <v>9</v>
      </c>
      <c r="E11" s="6" t="s">
        <v>8</v>
      </c>
      <c r="F11" s="8">
        <v>20</v>
      </c>
      <c r="H11" s="9">
        <v>100</v>
      </c>
      <c r="I11" s="9">
        <v>80</v>
      </c>
      <c r="M11" s="9">
        <v>200</v>
      </c>
      <c r="N11" s="9">
        <f t="shared" si="1"/>
        <v>100</v>
      </c>
    </row>
    <row r="12" spans="1:14" ht="15.75" thickBot="1">
      <c r="A12" s="5" t="s">
        <v>11</v>
      </c>
      <c r="B12" s="6" t="s">
        <v>12</v>
      </c>
      <c r="C12" s="7" t="s">
        <v>5</v>
      </c>
      <c r="D12" s="6" t="s">
        <v>9</v>
      </c>
      <c r="E12" s="6" t="s">
        <v>8</v>
      </c>
      <c r="F12" s="8">
        <v>38</v>
      </c>
      <c r="H12" s="9">
        <v>150</v>
      </c>
      <c r="I12" s="9">
        <v>120</v>
      </c>
      <c r="J12" s="9">
        <v>550</v>
      </c>
      <c r="K12" t="s">
        <v>24</v>
      </c>
      <c r="L12" s="9">
        <f>IF(J12&gt;0,(J12/1.2-50)/2,0)</f>
        <v>204.16666666666669</v>
      </c>
      <c r="M12" s="9">
        <v>250</v>
      </c>
      <c r="N12" s="9">
        <f t="shared" si="1"/>
        <v>125</v>
      </c>
    </row>
    <row r="13" spans="1:14" ht="15.75" thickBot="1">
      <c r="A13" s="5" t="s">
        <v>13</v>
      </c>
      <c r="B13" s="6" t="s">
        <v>14</v>
      </c>
      <c r="C13" s="7" t="s">
        <v>5</v>
      </c>
      <c r="D13" s="6" t="s">
        <v>9</v>
      </c>
      <c r="E13" s="6" t="s">
        <v>8</v>
      </c>
      <c r="F13" s="8">
        <v>3</v>
      </c>
      <c r="H13" s="9"/>
      <c r="I13" s="9"/>
      <c r="J13" s="9"/>
      <c r="K13" s="9"/>
      <c r="L13" s="9"/>
      <c r="M13" s="9">
        <v>300</v>
      </c>
      <c r="N13" s="9">
        <f t="shared" si="1"/>
        <v>150</v>
      </c>
    </row>
    <row r="20" spans="8:8">
      <c r="H20">
        <v>110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F007-D322-45E3-893F-CBA4FBA953BE}">
  <dimension ref="A1:U56"/>
  <sheetViews>
    <sheetView tabSelected="1" topLeftCell="B25" workbookViewId="0">
      <selection activeCell="K48" sqref="K48"/>
    </sheetView>
  </sheetViews>
  <sheetFormatPr baseColWidth="10" defaultRowHeight="14.25"/>
  <cols>
    <col min="1" max="1" width="22.75" customWidth="1"/>
    <col min="8" max="8" width="12.25" customWidth="1"/>
  </cols>
  <sheetData>
    <row r="1" spans="1:21" ht="57.75" thickBot="1">
      <c r="A1" s="15" t="s">
        <v>25</v>
      </c>
      <c r="B1" s="16" t="s">
        <v>26</v>
      </c>
      <c r="C1" s="16" t="s">
        <v>27</v>
      </c>
      <c r="D1" s="16" t="s">
        <v>28</v>
      </c>
      <c r="E1" s="16" t="s">
        <v>29</v>
      </c>
      <c r="F1" s="16" t="s">
        <v>30</v>
      </c>
      <c r="G1" s="16" t="s">
        <v>31</v>
      </c>
      <c r="H1" s="16" t="s">
        <v>32</v>
      </c>
      <c r="I1" s="16" t="s">
        <v>33</v>
      </c>
    </row>
    <row r="2" spans="1:21" ht="15.75" thickBot="1">
      <c r="A2" s="5" t="s">
        <v>0</v>
      </c>
      <c r="B2" s="6" t="s">
        <v>1</v>
      </c>
      <c r="C2" s="7" t="s">
        <v>2</v>
      </c>
      <c r="D2" s="6" t="s">
        <v>3</v>
      </c>
      <c r="E2" s="6" t="s">
        <v>4</v>
      </c>
      <c r="F2" s="8">
        <v>76</v>
      </c>
      <c r="G2" s="18">
        <v>60</v>
      </c>
      <c r="H2" s="18">
        <v>141.66999999999999</v>
      </c>
      <c r="I2" s="18">
        <v>170</v>
      </c>
      <c r="K2" s="17">
        <f>G2*F2</f>
        <v>4560</v>
      </c>
      <c r="M2" s="17">
        <f>H2-G2</f>
        <v>81.669999999999987</v>
      </c>
      <c r="N2" s="21">
        <f>M2/I2</f>
        <v>0.48041176470588226</v>
      </c>
      <c r="P2">
        <v>30</v>
      </c>
      <c r="Q2">
        <v>30</v>
      </c>
      <c r="R2" s="17">
        <f>0.15*H2</f>
        <v>21.250499999999999</v>
      </c>
      <c r="S2" s="17">
        <f>SUM(P2:R2)+G2</f>
        <v>141.25049999999999</v>
      </c>
      <c r="T2" s="17">
        <f>S2*1.2</f>
        <v>169.50059999999999</v>
      </c>
      <c r="U2" s="17">
        <f>T2-I2</f>
        <v>-0.4994000000000085</v>
      </c>
    </row>
    <row r="3" spans="1:21" ht="15.75" thickBot="1">
      <c r="A3" s="5" t="s">
        <v>0</v>
      </c>
      <c r="B3" s="6" t="s">
        <v>1</v>
      </c>
      <c r="C3" s="7" t="s">
        <v>5</v>
      </c>
      <c r="D3" s="6" t="s">
        <v>3</v>
      </c>
      <c r="E3" s="6" t="s">
        <v>4</v>
      </c>
      <c r="F3" s="8">
        <v>18</v>
      </c>
      <c r="G3" s="18">
        <v>80</v>
      </c>
      <c r="H3" s="18">
        <v>158.33000000000001</v>
      </c>
      <c r="I3" s="18">
        <v>190</v>
      </c>
      <c r="K3" s="17">
        <f>G3*F3</f>
        <v>1440</v>
      </c>
      <c r="M3" s="17">
        <f>H3-G3</f>
        <v>78.330000000000013</v>
      </c>
      <c r="N3" s="21">
        <f t="shared" ref="N3:N11" si="0">M3/I3</f>
        <v>0.41226315789473689</v>
      </c>
      <c r="P3">
        <v>30</v>
      </c>
      <c r="Q3">
        <v>30</v>
      </c>
      <c r="R3" s="17">
        <f>0.15*H3</f>
        <v>23.749500000000001</v>
      </c>
      <c r="S3" s="17">
        <f>SUM(P3:R3)+G3</f>
        <v>163.74950000000001</v>
      </c>
      <c r="T3" s="17">
        <f t="shared" ref="T3:T11" si="1">S3*1.2</f>
        <v>196.49940000000001</v>
      </c>
      <c r="U3" s="17">
        <f t="shared" ref="U3:U11" si="2">T3-I3</f>
        <v>6.4994000000000085</v>
      </c>
    </row>
    <row r="4" spans="1:21" ht="15.75" thickBot="1">
      <c r="A4" s="5" t="s">
        <v>6</v>
      </c>
      <c r="B4" s="6" t="s">
        <v>1</v>
      </c>
      <c r="C4" s="7" t="s">
        <v>2</v>
      </c>
      <c r="D4" s="6" t="s">
        <v>3</v>
      </c>
      <c r="E4" s="6" t="s">
        <v>4</v>
      </c>
      <c r="F4" s="8">
        <v>8</v>
      </c>
      <c r="G4" s="18">
        <v>80</v>
      </c>
      <c r="H4" s="18">
        <v>158.33000000000001</v>
      </c>
      <c r="I4" s="18">
        <v>190</v>
      </c>
      <c r="K4" s="17">
        <f>G4*F4</f>
        <v>640</v>
      </c>
      <c r="M4" s="17">
        <f>H4-G4</f>
        <v>78.330000000000013</v>
      </c>
      <c r="N4" s="21">
        <f t="shared" si="0"/>
        <v>0.41226315789473689</v>
      </c>
      <c r="P4">
        <v>30</v>
      </c>
      <c r="Q4">
        <v>30</v>
      </c>
      <c r="R4" s="17">
        <f t="shared" ref="R4:R11" si="3">0.15*H4</f>
        <v>23.749500000000001</v>
      </c>
      <c r="S4" s="17">
        <f>SUM(P4:R4)+G4</f>
        <v>163.74950000000001</v>
      </c>
      <c r="T4" s="17">
        <f t="shared" si="1"/>
        <v>196.49940000000001</v>
      </c>
      <c r="U4" s="17">
        <f t="shared" si="2"/>
        <v>6.4994000000000085</v>
      </c>
    </row>
    <row r="5" spans="1:21" ht="15.75" thickBot="1">
      <c r="A5" s="5" t="s">
        <v>7</v>
      </c>
      <c r="B5" s="6" t="s">
        <v>1</v>
      </c>
      <c r="C5" s="7" t="s">
        <v>2</v>
      </c>
      <c r="D5" s="6" t="s">
        <v>3</v>
      </c>
      <c r="E5" s="6" t="s">
        <v>8</v>
      </c>
      <c r="F5" s="8">
        <v>125</v>
      </c>
      <c r="G5" s="20">
        <v>120</v>
      </c>
      <c r="H5" s="20">
        <v>225</v>
      </c>
      <c r="I5" s="20">
        <v>250</v>
      </c>
      <c r="K5" s="17">
        <f>G5*F5</f>
        <v>15000</v>
      </c>
      <c r="M5" s="17">
        <f>H5-G5</f>
        <v>105</v>
      </c>
      <c r="N5" s="21">
        <f t="shared" si="0"/>
        <v>0.42</v>
      </c>
      <c r="P5">
        <v>30</v>
      </c>
      <c r="Q5">
        <v>30</v>
      </c>
      <c r="R5" s="17">
        <f t="shared" si="3"/>
        <v>33.75</v>
      </c>
      <c r="S5" s="17">
        <f>SUM(P5:R5)+G5</f>
        <v>213.75</v>
      </c>
      <c r="T5" s="17">
        <f t="shared" si="1"/>
        <v>256.5</v>
      </c>
      <c r="U5" s="17">
        <f t="shared" si="2"/>
        <v>6.5</v>
      </c>
    </row>
    <row r="6" spans="1:21" ht="15.75" thickBot="1">
      <c r="A6" s="5" t="s">
        <v>7</v>
      </c>
      <c r="B6" s="6" t="s">
        <v>1</v>
      </c>
      <c r="C6" s="7" t="s">
        <v>5</v>
      </c>
      <c r="D6" s="6" t="s">
        <v>3</v>
      </c>
      <c r="E6" s="6" t="s">
        <v>8</v>
      </c>
      <c r="F6" s="8">
        <v>20</v>
      </c>
      <c r="G6" s="18">
        <v>140</v>
      </c>
      <c r="H6" s="18">
        <v>241.67</v>
      </c>
      <c r="I6" s="18">
        <v>280</v>
      </c>
      <c r="K6" s="17">
        <f>G6*F6</f>
        <v>2800</v>
      </c>
      <c r="M6" s="17">
        <f>H6-G6</f>
        <v>101.66999999999999</v>
      </c>
      <c r="N6" s="21">
        <f t="shared" si="0"/>
        <v>0.3631071428571428</v>
      </c>
      <c r="P6">
        <v>30</v>
      </c>
      <c r="Q6">
        <v>30</v>
      </c>
      <c r="R6" s="17">
        <f t="shared" si="3"/>
        <v>36.250499999999995</v>
      </c>
      <c r="S6" s="17">
        <f>SUM(P6:R6)+G6</f>
        <v>236.25049999999999</v>
      </c>
      <c r="T6" s="17">
        <f t="shared" si="1"/>
        <v>283.50059999999996</v>
      </c>
      <c r="U6" s="17">
        <f t="shared" si="2"/>
        <v>3.5005999999999631</v>
      </c>
    </row>
    <row r="7" spans="1:21" ht="15.75" thickBot="1">
      <c r="A7" s="5" t="s">
        <v>7</v>
      </c>
      <c r="B7" s="6" t="s">
        <v>1</v>
      </c>
      <c r="C7" s="7" t="s">
        <v>5</v>
      </c>
      <c r="D7" s="6" t="s">
        <v>9</v>
      </c>
      <c r="E7" s="6" t="s">
        <v>8</v>
      </c>
      <c r="F7" s="8">
        <v>154</v>
      </c>
      <c r="G7" s="18">
        <v>165</v>
      </c>
      <c r="H7" s="18">
        <v>258.33</v>
      </c>
      <c r="I7" s="18">
        <v>310</v>
      </c>
      <c r="K7" s="17">
        <f>G7*F7</f>
        <v>25410</v>
      </c>
      <c r="M7" s="17">
        <f>H7-G7</f>
        <v>93.329999999999984</v>
      </c>
      <c r="N7" s="21">
        <f t="shared" si="0"/>
        <v>0.30106451612903223</v>
      </c>
      <c r="P7">
        <v>30</v>
      </c>
      <c r="Q7">
        <v>30</v>
      </c>
      <c r="R7" s="17">
        <f t="shared" si="3"/>
        <v>38.749499999999998</v>
      </c>
      <c r="S7" s="17">
        <f>SUM(P7:R7)+G7</f>
        <v>263.74950000000001</v>
      </c>
      <c r="T7" s="17">
        <f t="shared" si="1"/>
        <v>316.49939999999998</v>
      </c>
      <c r="U7" s="17">
        <f t="shared" si="2"/>
        <v>6.4993999999999801</v>
      </c>
    </row>
    <row r="8" spans="1:21" ht="15.75" thickBot="1">
      <c r="A8" s="5" t="s">
        <v>10</v>
      </c>
      <c r="B8" s="6" t="s">
        <v>1</v>
      </c>
      <c r="C8" s="7" t="s">
        <v>2</v>
      </c>
      <c r="D8" s="6" t="s">
        <v>3</v>
      </c>
      <c r="E8" s="6" t="s">
        <v>8</v>
      </c>
      <c r="F8" s="8">
        <v>12</v>
      </c>
      <c r="G8" s="18">
        <v>150</v>
      </c>
      <c r="H8" s="18">
        <v>241.67</v>
      </c>
      <c r="I8" s="18">
        <v>290</v>
      </c>
      <c r="K8" s="17">
        <f>G8*F8</f>
        <v>1800</v>
      </c>
      <c r="M8" s="17">
        <f>H8-G8</f>
        <v>91.669999999999987</v>
      </c>
      <c r="N8" s="21">
        <f t="shared" si="0"/>
        <v>0.31610344827586201</v>
      </c>
      <c r="P8">
        <v>30</v>
      </c>
      <c r="Q8">
        <v>30</v>
      </c>
      <c r="R8" s="17">
        <f t="shared" si="3"/>
        <v>36.250499999999995</v>
      </c>
      <c r="S8" s="17">
        <f>SUM(P8:R8)+G8</f>
        <v>246.25049999999999</v>
      </c>
      <c r="T8" s="17">
        <f t="shared" si="1"/>
        <v>295.50059999999996</v>
      </c>
      <c r="U8" s="17">
        <f t="shared" si="2"/>
        <v>5.5005999999999631</v>
      </c>
    </row>
    <row r="9" spans="1:21" ht="15.75" thickBot="1">
      <c r="A9" s="5" t="s">
        <v>10</v>
      </c>
      <c r="B9" s="6" t="s">
        <v>1</v>
      </c>
      <c r="C9" s="7" t="s">
        <v>5</v>
      </c>
      <c r="D9" s="6" t="s">
        <v>9</v>
      </c>
      <c r="E9" s="6" t="s">
        <v>8</v>
      </c>
      <c r="F9" s="8">
        <v>20</v>
      </c>
      <c r="G9" s="18">
        <v>180</v>
      </c>
      <c r="H9" s="18">
        <v>275</v>
      </c>
      <c r="I9" s="18">
        <v>330</v>
      </c>
      <c r="K9" s="17">
        <f>G9*F9</f>
        <v>3600</v>
      </c>
      <c r="M9" s="17">
        <f>H9-G9</f>
        <v>95</v>
      </c>
      <c r="N9" s="21">
        <f t="shared" si="0"/>
        <v>0.2878787878787879</v>
      </c>
      <c r="P9">
        <v>30</v>
      </c>
      <c r="Q9">
        <v>30</v>
      </c>
      <c r="R9" s="17">
        <f t="shared" si="3"/>
        <v>41.25</v>
      </c>
      <c r="S9" s="17">
        <f>SUM(P9:R9)+G9</f>
        <v>281.25</v>
      </c>
      <c r="T9" s="17">
        <f t="shared" si="1"/>
        <v>337.5</v>
      </c>
      <c r="U9" s="17">
        <f t="shared" si="2"/>
        <v>7.5</v>
      </c>
    </row>
    <row r="10" spans="1:21" ht="15.75" thickBot="1">
      <c r="A10" s="5" t="s">
        <v>11</v>
      </c>
      <c r="B10" s="6" t="s">
        <v>12</v>
      </c>
      <c r="C10" s="7" t="s">
        <v>5</v>
      </c>
      <c r="D10" s="6" t="s">
        <v>9</v>
      </c>
      <c r="E10" s="6" t="s">
        <v>8</v>
      </c>
      <c r="F10" s="8">
        <v>38</v>
      </c>
      <c r="G10" s="18">
        <v>260</v>
      </c>
      <c r="H10" s="18">
        <v>325</v>
      </c>
      <c r="I10" s="18">
        <v>410</v>
      </c>
      <c r="K10" s="17">
        <f>G10*F10</f>
        <v>9880</v>
      </c>
      <c r="M10" s="17">
        <f>H10-G10</f>
        <v>65</v>
      </c>
      <c r="N10" s="21">
        <f t="shared" si="0"/>
        <v>0.15853658536585366</v>
      </c>
      <c r="P10">
        <v>30</v>
      </c>
      <c r="Q10">
        <v>30</v>
      </c>
      <c r="R10" s="17">
        <f t="shared" si="3"/>
        <v>48.75</v>
      </c>
      <c r="S10" s="17">
        <f>SUM(P10:R10)+G10</f>
        <v>368.75</v>
      </c>
      <c r="T10" s="17">
        <f t="shared" si="1"/>
        <v>442.5</v>
      </c>
      <c r="U10" s="17">
        <f t="shared" si="2"/>
        <v>32.5</v>
      </c>
    </row>
    <row r="11" spans="1:21" ht="15.75" thickBot="1">
      <c r="A11" s="5" t="s">
        <v>13</v>
      </c>
      <c r="B11" s="6" t="s">
        <v>14</v>
      </c>
      <c r="C11" s="7" t="s">
        <v>5</v>
      </c>
      <c r="D11" s="6" t="s">
        <v>9</v>
      </c>
      <c r="E11" s="6" t="s">
        <v>8</v>
      </c>
      <c r="F11" s="8">
        <v>3</v>
      </c>
      <c r="G11" s="18">
        <v>300</v>
      </c>
      <c r="H11" s="18">
        <v>366.67</v>
      </c>
      <c r="I11" s="18">
        <v>460</v>
      </c>
      <c r="K11" s="17">
        <f>G11*F11</f>
        <v>900</v>
      </c>
      <c r="M11" s="17">
        <f>H11-G11</f>
        <v>66.670000000000016</v>
      </c>
      <c r="N11" s="21">
        <f t="shared" si="0"/>
        <v>0.14493478260869569</v>
      </c>
      <c r="P11">
        <v>30</v>
      </c>
      <c r="Q11">
        <v>30</v>
      </c>
      <c r="R11" s="17">
        <f t="shared" si="3"/>
        <v>55.000500000000002</v>
      </c>
      <c r="S11" s="17">
        <f>SUM(P11:R11)+G11</f>
        <v>415.00049999999999</v>
      </c>
      <c r="T11" s="17">
        <f t="shared" si="1"/>
        <v>498.00059999999996</v>
      </c>
      <c r="U11" s="17">
        <f t="shared" si="2"/>
        <v>38.000599999999963</v>
      </c>
    </row>
    <row r="13" spans="1:21">
      <c r="K13" s="17">
        <f>SUM(K2:K12)</f>
        <v>66030</v>
      </c>
    </row>
    <row r="20" spans="2:21" ht="15.75" thickBot="1">
      <c r="B20" s="6" t="s">
        <v>1</v>
      </c>
      <c r="C20" s="7" t="s">
        <v>2</v>
      </c>
      <c r="D20" s="6" t="s">
        <v>3</v>
      </c>
      <c r="E20" s="6" t="s">
        <v>4</v>
      </c>
      <c r="F20" s="8">
        <v>76</v>
      </c>
      <c r="G20" s="18">
        <v>60</v>
      </c>
      <c r="H20" s="18">
        <v>141.66999999999999</v>
      </c>
      <c r="I20" s="18">
        <v>170</v>
      </c>
      <c r="K20" s="17">
        <f>G20*F20</f>
        <v>4560</v>
      </c>
      <c r="M20" s="17">
        <f>H20-G20</f>
        <v>81.669999999999987</v>
      </c>
      <c r="N20" s="21">
        <f>M20/I20</f>
        <v>0.48041176470588226</v>
      </c>
      <c r="P20">
        <v>40</v>
      </c>
      <c r="Q20">
        <v>30</v>
      </c>
      <c r="R20" s="17">
        <f>0.1*H20</f>
        <v>14.167</v>
      </c>
      <c r="S20" s="17">
        <f>SUM(P20:R20)+G20-H20</f>
        <v>2.4970000000000141</v>
      </c>
      <c r="T20" s="17">
        <f>S20*1.2</f>
        <v>2.9964000000000168</v>
      </c>
      <c r="U20" s="17">
        <f>T20-I20</f>
        <v>-167.00359999999998</v>
      </c>
    </row>
    <row r="21" spans="2:21" ht="15.75" thickBot="1">
      <c r="B21" s="6" t="s">
        <v>1</v>
      </c>
      <c r="C21" s="7" t="s">
        <v>5</v>
      </c>
      <c r="D21" s="6" t="s">
        <v>3</v>
      </c>
      <c r="E21" s="6" t="s">
        <v>4</v>
      </c>
      <c r="F21" s="8">
        <v>18</v>
      </c>
      <c r="G21" s="18">
        <v>80</v>
      </c>
      <c r="H21" s="18">
        <v>158.33000000000001</v>
      </c>
      <c r="I21" s="18">
        <v>190</v>
      </c>
      <c r="K21" s="17">
        <f>G21*F21</f>
        <v>1440</v>
      </c>
      <c r="M21" s="17">
        <f>H21-G21</f>
        <v>78.330000000000013</v>
      </c>
      <c r="N21" s="21">
        <f t="shared" ref="N21:N29" si="4">M21/I21</f>
        <v>0.41226315789473689</v>
      </c>
      <c r="P21">
        <v>40</v>
      </c>
      <c r="Q21">
        <v>30</v>
      </c>
      <c r="R21" s="17">
        <f t="shared" ref="R21:R29" si="5">0.1*H21</f>
        <v>15.833000000000002</v>
      </c>
      <c r="S21" s="17">
        <f>SUM(P21:R21)+G21-H21</f>
        <v>7.5029999999999859</v>
      </c>
      <c r="T21" s="17">
        <f t="shared" ref="T21:T29" si="6">S21*1.2</f>
        <v>9.0035999999999827</v>
      </c>
      <c r="U21" s="17">
        <f t="shared" ref="U21:U29" si="7">T21-I21</f>
        <v>-180.99640000000002</v>
      </c>
    </row>
    <row r="22" spans="2:21" ht="15.75" thickBot="1">
      <c r="B22" s="6" t="s">
        <v>1</v>
      </c>
      <c r="C22" s="7" t="s">
        <v>2</v>
      </c>
      <c r="D22" s="6" t="s">
        <v>3</v>
      </c>
      <c r="E22" s="6" t="s">
        <v>4</v>
      </c>
      <c r="F22" s="8">
        <v>8</v>
      </c>
      <c r="G22" s="18">
        <v>80</v>
      </c>
      <c r="H22" s="18">
        <v>158.33000000000001</v>
      </c>
      <c r="I22" s="18">
        <v>190</v>
      </c>
      <c r="K22" s="17">
        <f>G22*F22</f>
        <v>640</v>
      </c>
      <c r="M22" s="17">
        <f>H22-G22</f>
        <v>78.330000000000013</v>
      </c>
      <c r="N22" s="21">
        <f t="shared" si="4"/>
        <v>0.41226315789473689</v>
      </c>
      <c r="P22">
        <v>40</v>
      </c>
      <c r="Q22">
        <v>30</v>
      </c>
      <c r="R22" s="17">
        <f t="shared" si="5"/>
        <v>15.833000000000002</v>
      </c>
      <c r="S22" s="17">
        <f>SUM(P22:R22)+G22-H22</f>
        <v>7.5029999999999859</v>
      </c>
      <c r="T22" s="17">
        <f t="shared" si="6"/>
        <v>9.0035999999999827</v>
      </c>
      <c r="U22" s="17">
        <f t="shared" si="7"/>
        <v>-180.99640000000002</v>
      </c>
    </row>
    <row r="23" spans="2:21" ht="15.75" thickBot="1">
      <c r="B23" s="6" t="s">
        <v>1</v>
      </c>
      <c r="C23" s="7" t="s">
        <v>2</v>
      </c>
      <c r="D23" s="6" t="s">
        <v>3</v>
      </c>
      <c r="E23" s="6" t="s">
        <v>8</v>
      </c>
      <c r="F23" s="8">
        <v>125</v>
      </c>
      <c r="G23" s="18">
        <v>90</v>
      </c>
      <c r="H23" s="18">
        <v>191.67</v>
      </c>
      <c r="I23" s="18">
        <v>230</v>
      </c>
      <c r="K23" s="17">
        <f>G23*F23</f>
        <v>11250</v>
      </c>
      <c r="M23" s="17">
        <f>H23-G23</f>
        <v>101.66999999999999</v>
      </c>
      <c r="N23" s="21">
        <f t="shared" si="4"/>
        <v>0.44204347826086954</v>
      </c>
      <c r="P23">
        <v>40</v>
      </c>
      <c r="Q23">
        <v>30</v>
      </c>
      <c r="R23" s="17">
        <f t="shared" si="5"/>
        <v>19.166999999999998</v>
      </c>
      <c r="S23" s="17">
        <f>SUM(P23:R23)+G23-H23</f>
        <v>-12.502999999999986</v>
      </c>
      <c r="T23" s="17">
        <f t="shared" si="6"/>
        <v>-15.003599999999983</v>
      </c>
      <c r="U23" s="17">
        <f t="shared" si="7"/>
        <v>-245.00359999999998</v>
      </c>
    </row>
    <row r="24" spans="2:21" ht="15.75" thickBot="1">
      <c r="B24" s="6" t="s">
        <v>1</v>
      </c>
      <c r="C24" s="7" t="s">
        <v>5</v>
      </c>
      <c r="D24" s="6" t="s">
        <v>3</v>
      </c>
      <c r="E24" s="6" t="s">
        <v>8</v>
      </c>
      <c r="F24" s="8">
        <v>20</v>
      </c>
      <c r="G24" s="18">
        <v>125</v>
      </c>
      <c r="H24" s="18">
        <v>208.33</v>
      </c>
      <c r="I24" s="18">
        <v>250</v>
      </c>
      <c r="K24" s="17">
        <f>G24*F24</f>
        <v>2500</v>
      </c>
      <c r="M24" s="17">
        <f>H24-G24</f>
        <v>83.330000000000013</v>
      </c>
      <c r="N24" s="21">
        <f t="shared" si="4"/>
        <v>0.33332000000000006</v>
      </c>
      <c r="P24">
        <v>40</v>
      </c>
      <c r="Q24">
        <v>30</v>
      </c>
      <c r="R24" s="17">
        <f t="shared" si="5"/>
        <v>20.833000000000002</v>
      </c>
      <c r="S24" s="17">
        <f>SUM(P24:R24)+G24-H24</f>
        <v>7.5029999999999859</v>
      </c>
      <c r="T24" s="17">
        <f t="shared" si="6"/>
        <v>9.0035999999999827</v>
      </c>
      <c r="U24" s="17">
        <f t="shared" si="7"/>
        <v>-240.99640000000002</v>
      </c>
    </row>
    <row r="25" spans="2:21" ht="15.75" thickBot="1">
      <c r="B25" s="6" t="s">
        <v>1</v>
      </c>
      <c r="C25" s="7" t="s">
        <v>5</v>
      </c>
      <c r="D25" s="6" t="s">
        <v>9</v>
      </c>
      <c r="E25" s="6" t="s">
        <v>8</v>
      </c>
      <c r="F25" s="8">
        <v>154</v>
      </c>
      <c r="G25" s="18">
        <v>150</v>
      </c>
      <c r="H25" s="18">
        <v>233.33</v>
      </c>
      <c r="I25" s="18">
        <v>280</v>
      </c>
      <c r="K25" s="17">
        <f>G25*F25</f>
        <v>23100</v>
      </c>
      <c r="M25" s="17">
        <f>H25-G25</f>
        <v>83.330000000000013</v>
      </c>
      <c r="N25" s="21">
        <f t="shared" si="4"/>
        <v>0.2976071428571429</v>
      </c>
      <c r="P25">
        <v>40</v>
      </c>
      <c r="Q25">
        <v>30</v>
      </c>
      <c r="R25" s="17">
        <f t="shared" si="5"/>
        <v>23.333000000000002</v>
      </c>
      <c r="S25" s="17">
        <f>SUM(P25:R25)+G25-H25</f>
        <v>10.002999999999986</v>
      </c>
      <c r="T25" s="17">
        <f t="shared" si="6"/>
        <v>12.003599999999983</v>
      </c>
      <c r="U25" s="17">
        <f t="shared" si="7"/>
        <v>-267.99639999999999</v>
      </c>
    </row>
    <row r="26" spans="2:21" ht="15.75" thickBot="1">
      <c r="B26" s="6" t="s">
        <v>1</v>
      </c>
      <c r="C26" s="7" t="s">
        <v>2</v>
      </c>
      <c r="D26" s="6" t="s">
        <v>3</v>
      </c>
      <c r="E26" s="6" t="s">
        <v>8</v>
      </c>
      <c r="F26" s="8">
        <v>12</v>
      </c>
      <c r="G26" s="18">
        <v>130</v>
      </c>
      <c r="H26" s="18">
        <v>216.67</v>
      </c>
      <c r="I26" s="18">
        <v>260</v>
      </c>
      <c r="K26" s="17">
        <f>G26*F26</f>
        <v>1560</v>
      </c>
      <c r="M26" s="17">
        <f>H26-G26</f>
        <v>86.669999999999987</v>
      </c>
      <c r="N26" s="21">
        <f t="shared" si="4"/>
        <v>0.33334615384615379</v>
      </c>
      <c r="P26">
        <v>40</v>
      </c>
      <c r="Q26">
        <v>30</v>
      </c>
      <c r="R26" s="17">
        <f t="shared" si="5"/>
        <v>21.667000000000002</v>
      </c>
      <c r="S26" s="17">
        <f>SUM(P26:R26)+G26-H26</f>
        <v>4.9970000000000141</v>
      </c>
      <c r="T26" s="17">
        <f t="shared" si="6"/>
        <v>5.9964000000000164</v>
      </c>
      <c r="U26" s="17">
        <f t="shared" si="7"/>
        <v>-254.00359999999998</v>
      </c>
    </row>
    <row r="27" spans="2:21" ht="15.75" thickBot="1">
      <c r="B27" s="6" t="s">
        <v>1</v>
      </c>
      <c r="C27" s="7" t="s">
        <v>5</v>
      </c>
      <c r="D27" s="6" t="s">
        <v>9</v>
      </c>
      <c r="E27" s="6" t="s">
        <v>8</v>
      </c>
      <c r="F27" s="8">
        <v>20</v>
      </c>
      <c r="G27" s="18">
        <v>180</v>
      </c>
      <c r="H27" s="18">
        <v>250</v>
      </c>
      <c r="I27" s="18">
        <v>300</v>
      </c>
      <c r="K27" s="17">
        <f>G27*F27</f>
        <v>3600</v>
      </c>
      <c r="M27" s="17">
        <f>H27-G27</f>
        <v>70</v>
      </c>
      <c r="N27" s="21">
        <f t="shared" si="4"/>
        <v>0.23333333333333334</v>
      </c>
      <c r="P27">
        <v>40</v>
      </c>
      <c r="Q27">
        <v>30</v>
      </c>
      <c r="R27" s="17">
        <f t="shared" si="5"/>
        <v>25</v>
      </c>
      <c r="S27" s="17">
        <f>SUM(P27:R27)+G27-H27</f>
        <v>25</v>
      </c>
      <c r="T27" s="17">
        <f t="shared" si="6"/>
        <v>30</v>
      </c>
      <c r="U27" s="17">
        <f t="shared" si="7"/>
        <v>-270</v>
      </c>
    </row>
    <row r="28" spans="2:21" ht="15.75" thickBot="1">
      <c r="B28" s="6" t="s">
        <v>12</v>
      </c>
      <c r="C28" s="7" t="s">
        <v>5</v>
      </c>
      <c r="D28" s="6" t="s">
        <v>9</v>
      </c>
      <c r="E28" s="6" t="s">
        <v>8</v>
      </c>
      <c r="F28" s="8">
        <v>38</v>
      </c>
      <c r="G28" s="18">
        <v>240</v>
      </c>
      <c r="H28" s="18">
        <v>316.67</v>
      </c>
      <c r="I28" s="18">
        <v>380</v>
      </c>
      <c r="K28" s="17">
        <f>G28*F28</f>
        <v>9120</v>
      </c>
      <c r="M28" s="17">
        <f>H28-G28</f>
        <v>76.670000000000016</v>
      </c>
      <c r="N28" s="21">
        <f t="shared" si="4"/>
        <v>0.20176315789473689</v>
      </c>
      <c r="P28">
        <v>40</v>
      </c>
      <c r="Q28">
        <v>30</v>
      </c>
      <c r="R28" s="17">
        <f t="shared" si="5"/>
        <v>31.667000000000002</v>
      </c>
      <c r="S28" s="17">
        <f>SUM(P28:R28)+G28-H28</f>
        <v>24.997000000000014</v>
      </c>
      <c r="T28" s="17">
        <f t="shared" si="6"/>
        <v>29.996400000000015</v>
      </c>
      <c r="U28" s="17">
        <f t="shared" si="7"/>
        <v>-350.00360000000001</v>
      </c>
    </row>
    <row r="29" spans="2:21" ht="15.75" thickBot="1">
      <c r="B29" s="6" t="s">
        <v>14</v>
      </c>
      <c r="C29" s="7" t="s">
        <v>5</v>
      </c>
      <c r="D29" s="6" t="s">
        <v>9</v>
      </c>
      <c r="E29" s="6" t="s">
        <v>8</v>
      </c>
      <c r="F29" s="8">
        <v>3</v>
      </c>
      <c r="G29" s="18">
        <v>280</v>
      </c>
      <c r="H29" s="18">
        <v>358.33</v>
      </c>
      <c r="I29" s="18">
        <v>430</v>
      </c>
      <c r="K29" s="17">
        <f>G29*F29</f>
        <v>840</v>
      </c>
      <c r="M29" s="17">
        <f>H29-G29</f>
        <v>78.329999999999984</v>
      </c>
      <c r="N29" s="21">
        <f t="shared" si="4"/>
        <v>0.18216279069767438</v>
      </c>
      <c r="P29">
        <v>40</v>
      </c>
      <c r="Q29">
        <v>30</v>
      </c>
      <c r="R29" s="17">
        <f t="shared" si="5"/>
        <v>35.832999999999998</v>
      </c>
      <c r="S29" s="17">
        <f>SUM(P29:R29)+G29-H29</f>
        <v>27.502999999999986</v>
      </c>
      <c r="T29" s="17">
        <f t="shared" si="6"/>
        <v>33.003599999999985</v>
      </c>
      <c r="U29" s="17">
        <f t="shared" si="7"/>
        <v>-396.99639999999999</v>
      </c>
    </row>
    <row r="30" spans="2:21">
      <c r="R30" s="17"/>
    </row>
    <row r="33" spans="4:21" ht="15.75" thickBot="1">
      <c r="D33" s="22" t="s">
        <v>3</v>
      </c>
      <c r="E33" s="22" t="s">
        <v>4</v>
      </c>
      <c r="F33" s="23">
        <v>76</v>
      </c>
      <c r="G33" s="19">
        <v>70</v>
      </c>
      <c r="H33" s="19">
        <v>150</v>
      </c>
      <c r="I33" s="19">
        <v>180</v>
      </c>
      <c r="J33" s="17"/>
      <c r="K33" s="17">
        <f>G33*F33</f>
        <v>5320</v>
      </c>
      <c r="M33" s="17">
        <f>H33-G33</f>
        <v>80</v>
      </c>
      <c r="N33" s="21">
        <f>M33/I33</f>
        <v>0.44444444444444442</v>
      </c>
      <c r="P33">
        <v>40</v>
      </c>
      <c r="Q33">
        <v>30</v>
      </c>
      <c r="R33" s="17">
        <f>0.1*H33</f>
        <v>15</v>
      </c>
      <c r="S33" s="17">
        <f>SUM(P33:R33)+G33-H33</f>
        <v>5</v>
      </c>
      <c r="T33" s="17">
        <f>S33*1.2</f>
        <v>6</v>
      </c>
      <c r="U33" s="17">
        <f>T33-I33</f>
        <v>-174</v>
      </c>
    </row>
    <row r="34" spans="4:21" ht="15.75" thickBot="1">
      <c r="D34" s="22" t="s">
        <v>3</v>
      </c>
      <c r="E34" s="22" t="s">
        <v>4</v>
      </c>
      <c r="F34" s="23">
        <v>18</v>
      </c>
      <c r="G34" s="19">
        <v>90</v>
      </c>
      <c r="H34" s="19">
        <v>166.66666666666669</v>
      </c>
      <c r="I34" s="19">
        <v>200</v>
      </c>
      <c r="J34" s="17"/>
      <c r="K34" s="17">
        <f>G34*F34</f>
        <v>1620</v>
      </c>
      <c r="M34" s="17">
        <f>H34-G34</f>
        <v>76.666666666666686</v>
      </c>
      <c r="N34" s="21">
        <f t="shared" ref="N34:N42" si="8">M34/I34</f>
        <v>0.38333333333333341</v>
      </c>
      <c r="P34">
        <v>40</v>
      </c>
      <c r="Q34">
        <v>30</v>
      </c>
      <c r="R34" s="17">
        <f t="shared" ref="R34:R42" si="9">0.1*H34</f>
        <v>16.666666666666668</v>
      </c>
      <c r="S34" s="17">
        <f>SUM(P34:R34)+G34-H34</f>
        <v>10</v>
      </c>
      <c r="T34" s="17">
        <f t="shared" ref="T34:T42" si="10">S34*1.2</f>
        <v>12</v>
      </c>
      <c r="U34" s="17">
        <f t="shared" ref="U34:U42" si="11">T34-I34</f>
        <v>-188</v>
      </c>
    </row>
    <row r="35" spans="4:21" ht="15.75" thickBot="1">
      <c r="D35" s="22" t="s">
        <v>3</v>
      </c>
      <c r="E35" s="22" t="s">
        <v>4</v>
      </c>
      <c r="F35" s="23">
        <v>8</v>
      </c>
      <c r="G35" s="19">
        <v>90</v>
      </c>
      <c r="H35" s="19">
        <v>166.66666666666669</v>
      </c>
      <c r="I35" s="19">
        <v>200</v>
      </c>
      <c r="J35" s="17"/>
      <c r="K35" s="17">
        <f>G35*F35</f>
        <v>720</v>
      </c>
      <c r="M35" s="17">
        <f>H35-G35</f>
        <v>76.666666666666686</v>
      </c>
      <c r="N35" s="21">
        <f t="shared" si="8"/>
        <v>0.38333333333333341</v>
      </c>
      <c r="P35">
        <v>40</v>
      </c>
      <c r="Q35">
        <v>30</v>
      </c>
      <c r="R35" s="17">
        <f t="shared" si="9"/>
        <v>16.666666666666668</v>
      </c>
      <c r="S35" s="17">
        <f>SUM(P35:R35)+G35-H35</f>
        <v>10</v>
      </c>
      <c r="T35" s="17">
        <f t="shared" si="10"/>
        <v>12</v>
      </c>
      <c r="U35" s="17">
        <f t="shared" si="11"/>
        <v>-188</v>
      </c>
    </row>
    <row r="36" spans="4:21" ht="15.75" thickBot="1">
      <c r="D36" s="22" t="s">
        <v>3</v>
      </c>
      <c r="E36" s="22" t="s">
        <v>8</v>
      </c>
      <c r="F36" s="23">
        <v>125</v>
      </c>
      <c r="G36" s="19">
        <v>110</v>
      </c>
      <c r="H36" s="19">
        <v>191.67</v>
      </c>
      <c r="I36" s="19">
        <v>230.00399999999999</v>
      </c>
      <c r="J36" s="17"/>
      <c r="K36" s="17">
        <f>G36*F36</f>
        <v>13750</v>
      </c>
      <c r="M36" s="17">
        <f>H36-G36</f>
        <v>81.669999999999987</v>
      </c>
      <c r="N36" s="21">
        <f t="shared" si="8"/>
        <v>0.3550807812038051</v>
      </c>
      <c r="P36">
        <v>40</v>
      </c>
      <c r="Q36">
        <v>30</v>
      </c>
      <c r="R36" s="17">
        <f t="shared" si="9"/>
        <v>19.166999999999998</v>
      </c>
      <c r="S36" s="17">
        <f>SUM(P36:R36)+G36-H36</f>
        <v>7.4970000000000141</v>
      </c>
      <c r="T36" s="17">
        <f t="shared" si="10"/>
        <v>8.9964000000000173</v>
      </c>
      <c r="U36" s="17">
        <f t="shared" si="11"/>
        <v>-221.00759999999997</v>
      </c>
    </row>
    <row r="37" spans="4:21" ht="15.75" thickBot="1">
      <c r="D37" s="22" t="s">
        <v>3</v>
      </c>
      <c r="E37" s="22" t="s">
        <v>8</v>
      </c>
      <c r="F37" s="23">
        <v>20</v>
      </c>
      <c r="G37" s="19">
        <v>140</v>
      </c>
      <c r="H37" s="19">
        <v>233.33333333333334</v>
      </c>
      <c r="I37" s="19">
        <v>280</v>
      </c>
      <c r="J37" s="17"/>
      <c r="K37" s="17">
        <f>G37*F37</f>
        <v>2800</v>
      </c>
      <c r="M37" s="17">
        <f>H37-G37</f>
        <v>93.333333333333343</v>
      </c>
      <c r="N37" s="21">
        <f t="shared" si="8"/>
        <v>0.33333333333333337</v>
      </c>
      <c r="P37">
        <v>40</v>
      </c>
      <c r="Q37">
        <v>30</v>
      </c>
      <c r="R37" s="17">
        <f t="shared" si="9"/>
        <v>23.333333333333336</v>
      </c>
      <c r="S37" s="17">
        <f>SUM(P37:R37)+G37-H37</f>
        <v>0</v>
      </c>
      <c r="T37" s="17">
        <f t="shared" si="10"/>
        <v>0</v>
      </c>
      <c r="U37" s="17">
        <f t="shared" si="11"/>
        <v>-280</v>
      </c>
    </row>
    <row r="38" spans="4:21" ht="15.75" thickBot="1">
      <c r="D38" s="22" t="s">
        <v>9</v>
      </c>
      <c r="E38" s="22" t="s">
        <v>8</v>
      </c>
      <c r="F38" s="23">
        <v>154</v>
      </c>
      <c r="G38" s="19">
        <v>170</v>
      </c>
      <c r="H38" s="19">
        <v>258.33333333333337</v>
      </c>
      <c r="I38" s="19">
        <v>310</v>
      </c>
      <c r="J38" s="17"/>
      <c r="K38" s="17">
        <f>G38*F38</f>
        <v>26180</v>
      </c>
      <c r="M38" s="17">
        <f>H38-G38</f>
        <v>88.333333333333371</v>
      </c>
      <c r="N38" s="21">
        <f t="shared" si="8"/>
        <v>0.28494623655913992</v>
      </c>
      <c r="P38">
        <v>40</v>
      </c>
      <c r="Q38">
        <v>30</v>
      </c>
      <c r="R38" s="17">
        <f t="shared" si="9"/>
        <v>25.833333333333339</v>
      </c>
      <c r="S38" s="17">
        <f>SUM(P38:R38)+G38-H38</f>
        <v>7.5</v>
      </c>
      <c r="T38" s="17">
        <f t="shared" si="10"/>
        <v>9</v>
      </c>
      <c r="U38" s="17">
        <f t="shared" si="11"/>
        <v>-301</v>
      </c>
    </row>
    <row r="39" spans="4:21" ht="15.75" thickBot="1">
      <c r="D39" s="22" t="s">
        <v>3</v>
      </c>
      <c r="E39" s="22" t="s">
        <v>8</v>
      </c>
      <c r="F39" s="23">
        <v>12</v>
      </c>
      <c r="G39" s="19">
        <v>150</v>
      </c>
      <c r="H39" s="19">
        <v>241.66666666666669</v>
      </c>
      <c r="I39" s="19">
        <v>290</v>
      </c>
      <c r="J39" s="17"/>
      <c r="K39" s="17">
        <f>G39*F39</f>
        <v>1800</v>
      </c>
      <c r="M39" s="17">
        <f>H39-G39</f>
        <v>91.666666666666686</v>
      </c>
      <c r="N39" s="21">
        <f t="shared" si="8"/>
        <v>0.31609195402298856</v>
      </c>
      <c r="P39">
        <v>40</v>
      </c>
      <c r="Q39">
        <v>30</v>
      </c>
      <c r="R39" s="17">
        <f t="shared" si="9"/>
        <v>24.166666666666671</v>
      </c>
      <c r="S39" s="17">
        <f>SUM(P39:R39)+G39-H39</f>
        <v>2.5</v>
      </c>
      <c r="T39" s="17">
        <f t="shared" si="10"/>
        <v>3</v>
      </c>
      <c r="U39" s="17">
        <f t="shared" si="11"/>
        <v>-287</v>
      </c>
    </row>
    <row r="40" spans="4:21" ht="15.75" thickBot="1">
      <c r="D40" s="22" t="s">
        <v>9</v>
      </c>
      <c r="E40" s="22" t="s">
        <v>8</v>
      </c>
      <c r="F40" s="23">
        <v>20</v>
      </c>
      <c r="G40" s="19">
        <v>210</v>
      </c>
      <c r="H40" s="19">
        <v>300</v>
      </c>
      <c r="I40" s="19">
        <v>360</v>
      </c>
      <c r="J40" s="17"/>
      <c r="K40" s="17">
        <f>G40*F40</f>
        <v>4200</v>
      </c>
      <c r="M40" s="17">
        <f>H40-G40</f>
        <v>90</v>
      </c>
      <c r="N40" s="21">
        <f t="shared" si="8"/>
        <v>0.25</v>
      </c>
      <c r="P40">
        <v>40</v>
      </c>
      <c r="Q40">
        <v>30</v>
      </c>
      <c r="R40" s="17">
        <f t="shared" si="9"/>
        <v>30</v>
      </c>
      <c r="S40" s="17">
        <f>SUM(P40:R40)+G40-H40</f>
        <v>10</v>
      </c>
      <c r="T40" s="17">
        <f t="shared" si="10"/>
        <v>12</v>
      </c>
      <c r="U40" s="17">
        <f t="shared" si="11"/>
        <v>-348</v>
      </c>
    </row>
    <row r="41" spans="4:21" ht="15.75" thickBot="1">
      <c r="D41" s="22" t="s">
        <v>9</v>
      </c>
      <c r="E41" s="22" t="s">
        <v>8</v>
      </c>
      <c r="F41" s="23">
        <v>38</v>
      </c>
      <c r="G41" s="19">
        <v>280</v>
      </c>
      <c r="H41" s="19">
        <v>375</v>
      </c>
      <c r="I41" s="19">
        <v>450</v>
      </c>
      <c r="J41" s="17"/>
      <c r="K41" s="17">
        <f>G41*F41</f>
        <v>10640</v>
      </c>
      <c r="M41" s="17">
        <f>H41-G41</f>
        <v>95</v>
      </c>
      <c r="N41" s="21">
        <f t="shared" si="8"/>
        <v>0.21111111111111111</v>
      </c>
      <c r="P41">
        <v>40</v>
      </c>
      <c r="Q41">
        <v>30</v>
      </c>
      <c r="R41" s="17">
        <f t="shared" si="9"/>
        <v>37.5</v>
      </c>
      <c r="S41" s="17">
        <f>SUM(P41:R41)+G41-H41</f>
        <v>12.5</v>
      </c>
      <c r="T41" s="17">
        <f t="shared" si="10"/>
        <v>15</v>
      </c>
      <c r="U41" s="17">
        <f t="shared" si="11"/>
        <v>-435</v>
      </c>
    </row>
    <row r="42" spans="4:21" ht="15.75" thickBot="1">
      <c r="D42" s="22" t="s">
        <v>9</v>
      </c>
      <c r="E42" s="22" t="s">
        <v>8</v>
      </c>
      <c r="F42" s="23">
        <v>3</v>
      </c>
      <c r="G42" s="19">
        <v>325</v>
      </c>
      <c r="H42" s="19">
        <v>425</v>
      </c>
      <c r="I42" s="19">
        <v>510</v>
      </c>
      <c r="J42" s="17"/>
      <c r="K42" s="17">
        <f>G42*F42</f>
        <v>975</v>
      </c>
      <c r="M42" s="17">
        <f>H42-G42</f>
        <v>100</v>
      </c>
      <c r="N42" s="21">
        <f t="shared" si="8"/>
        <v>0.19607843137254902</v>
      </c>
      <c r="P42">
        <v>40</v>
      </c>
      <c r="Q42">
        <v>30</v>
      </c>
      <c r="R42" s="17">
        <f t="shared" si="9"/>
        <v>42.5</v>
      </c>
      <c r="S42" s="17">
        <f>SUM(P42:R42)+G42-H42</f>
        <v>12.5</v>
      </c>
      <c r="T42" s="17">
        <f t="shared" si="10"/>
        <v>15</v>
      </c>
      <c r="U42" s="17">
        <f t="shared" si="11"/>
        <v>-495</v>
      </c>
    </row>
    <row r="43" spans="4:21">
      <c r="J43" s="17"/>
    </row>
    <row r="46" spans="4:21">
      <c r="F46" t="s">
        <v>34</v>
      </c>
      <c r="G46" t="s">
        <v>35</v>
      </c>
    </row>
    <row r="47" spans="4:21" ht="15" thickBot="1">
      <c r="D47" s="17">
        <f>G47-F47</f>
        <v>10</v>
      </c>
      <c r="F47" s="18">
        <v>60</v>
      </c>
      <c r="G47" s="18">
        <v>70</v>
      </c>
      <c r="H47" s="18">
        <v>141.66999999999999</v>
      </c>
      <c r="I47" s="18">
        <v>170</v>
      </c>
      <c r="K47" s="17">
        <f>H47-G47</f>
        <v>71.669999999999987</v>
      </c>
    </row>
    <row r="48" spans="4:21" ht="15" thickBot="1">
      <c r="D48" s="17">
        <f t="shared" ref="D48:D56" si="12">G48-F48</f>
        <v>10</v>
      </c>
      <c r="F48" s="18">
        <v>80</v>
      </c>
      <c r="G48" s="18">
        <v>90</v>
      </c>
      <c r="H48" s="18">
        <v>158.33000000000001</v>
      </c>
      <c r="I48" s="18">
        <v>190</v>
      </c>
      <c r="K48" s="17">
        <f t="shared" ref="K48:K56" si="13">H48-G48</f>
        <v>68.330000000000013</v>
      </c>
    </row>
    <row r="49" spans="4:11" ht="15" thickBot="1">
      <c r="D49" s="17">
        <f t="shared" si="12"/>
        <v>10</v>
      </c>
      <c r="F49" s="18">
        <v>80</v>
      </c>
      <c r="G49" s="18">
        <v>90</v>
      </c>
      <c r="H49" s="18">
        <v>158.33000000000001</v>
      </c>
      <c r="I49" s="18">
        <v>190</v>
      </c>
      <c r="K49" s="17">
        <f t="shared" si="13"/>
        <v>68.330000000000013</v>
      </c>
    </row>
    <row r="50" spans="4:11" ht="15" thickBot="1">
      <c r="D50" s="17">
        <f t="shared" si="12"/>
        <v>20</v>
      </c>
      <c r="F50" s="18">
        <v>90</v>
      </c>
      <c r="G50" s="18">
        <v>110</v>
      </c>
      <c r="H50" s="18">
        <v>191.67</v>
      </c>
      <c r="I50" s="18">
        <v>230</v>
      </c>
      <c r="K50" s="17">
        <f t="shared" si="13"/>
        <v>81.669999999999987</v>
      </c>
    </row>
    <row r="51" spans="4:11" ht="15" thickBot="1">
      <c r="D51" s="17">
        <f t="shared" si="12"/>
        <v>10</v>
      </c>
      <c r="F51" s="18">
        <v>125</v>
      </c>
      <c r="G51" s="18">
        <v>135</v>
      </c>
      <c r="H51" s="18">
        <v>208.33</v>
      </c>
      <c r="I51" s="18">
        <v>250</v>
      </c>
      <c r="K51" s="17">
        <f t="shared" si="13"/>
        <v>73.330000000000013</v>
      </c>
    </row>
    <row r="52" spans="4:11" ht="15" thickBot="1">
      <c r="D52" s="17">
        <f t="shared" si="12"/>
        <v>10</v>
      </c>
      <c r="F52" s="18">
        <v>150</v>
      </c>
      <c r="G52" s="18">
        <v>160</v>
      </c>
      <c r="H52" s="18">
        <v>233.33</v>
      </c>
      <c r="I52" s="18">
        <v>280</v>
      </c>
      <c r="K52" s="17">
        <f t="shared" si="13"/>
        <v>73.330000000000013</v>
      </c>
    </row>
    <row r="53" spans="4:11" ht="15" thickBot="1">
      <c r="D53" s="17">
        <f t="shared" si="12"/>
        <v>15</v>
      </c>
      <c r="F53" s="18">
        <v>130</v>
      </c>
      <c r="G53" s="18">
        <v>145</v>
      </c>
      <c r="H53" s="18">
        <v>216.67</v>
      </c>
      <c r="I53" s="18">
        <v>260</v>
      </c>
      <c r="K53" s="17">
        <f t="shared" si="13"/>
        <v>71.669999999999987</v>
      </c>
    </row>
    <row r="54" spans="4:11" ht="15" thickBot="1">
      <c r="D54" s="17">
        <f t="shared" si="12"/>
        <v>10</v>
      </c>
      <c r="F54" s="18">
        <v>180</v>
      </c>
      <c r="G54" s="18">
        <v>190</v>
      </c>
      <c r="H54" s="18">
        <v>250</v>
      </c>
      <c r="I54" s="18">
        <v>300</v>
      </c>
      <c r="K54" s="17">
        <f t="shared" si="13"/>
        <v>60</v>
      </c>
    </row>
    <row r="55" spans="4:11" ht="15" thickBot="1">
      <c r="D55" s="17">
        <f t="shared" si="12"/>
        <v>10</v>
      </c>
      <c r="F55" s="18">
        <v>240</v>
      </c>
      <c r="G55" s="18">
        <v>250</v>
      </c>
      <c r="H55" s="18">
        <v>316.67</v>
      </c>
      <c r="I55" s="18">
        <v>380</v>
      </c>
      <c r="K55" s="17">
        <f t="shared" si="13"/>
        <v>66.670000000000016</v>
      </c>
    </row>
    <row r="56" spans="4:11" ht="15" thickBot="1">
      <c r="D56" s="17">
        <f t="shared" si="12"/>
        <v>20</v>
      </c>
      <c r="F56" s="18">
        <v>280</v>
      </c>
      <c r="G56" s="18">
        <v>300</v>
      </c>
      <c r="H56" s="18">
        <v>358.33</v>
      </c>
      <c r="I56" s="18">
        <v>430</v>
      </c>
      <c r="K56" s="17">
        <f t="shared" si="13"/>
        <v>58.329999999999984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Schilbach</dc:creator>
  <cp:lastModifiedBy>Walter Gander</cp:lastModifiedBy>
  <dcterms:created xsi:type="dcterms:W3CDTF">2024-04-03T08:08:45Z</dcterms:created>
  <dcterms:modified xsi:type="dcterms:W3CDTF">2024-04-10T13:46:03Z</dcterms:modified>
</cp:coreProperties>
</file>