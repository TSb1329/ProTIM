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403_RSG\"/>
    </mc:Choice>
  </mc:AlternateContent>
  <xr:revisionPtr revIDLastSave="0" documentId="8_{C9837FEE-31CB-453E-87D7-6F2BD6FC76B6}" xr6:coauthVersionLast="47" xr6:coauthVersionMax="47" xr10:uidLastSave="{00000000-0000-0000-0000-000000000000}"/>
  <bookViews>
    <workbookView xWindow="-120" yWindow="-120" windowWidth="29040" windowHeight="17520" xr2:uid="{61550034-3776-46B0-BC3E-D0FB241081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6" i="1"/>
  <c r="M9" i="1"/>
  <c r="M11" i="1"/>
  <c r="M2" i="1"/>
  <c r="L3" i="1"/>
  <c r="L4" i="1"/>
  <c r="L5" i="1"/>
  <c r="L6" i="1"/>
  <c r="L7" i="1"/>
  <c r="M7" i="1" s="1"/>
  <c r="L8" i="1"/>
  <c r="M8" i="1" s="1"/>
  <c r="L9" i="1"/>
  <c r="L10" i="1"/>
  <c r="L11" i="1"/>
  <c r="L2" i="1"/>
  <c r="K3" i="1"/>
  <c r="K4" i="1"/>
  <c r="K5" i="1"/>
  <c r="K6" i="1"/>
  <c r="K7" i="1"/>
  <c r="K8" i="1"/>
  <c r="K9" i="1"/>
  <c r="K2" i="1"/>
  <c r="J3" i="1"/>
  <c r="J4" i="1"/>
  <c r="J5" i="1"/>
  <c r="M5" i="1" s="1"/>
  <c r="J6" i="1"/>
  <c r="J7" i="1"/>
  <c r="J8" i="1"/>
  <c r="J9" i="1"/>
  <c r="J10" i="1"/>
  <c r="K10" i="1" s="1"/>
  <c r="J11" i="1"/>
  <c r="K11" i="1" s="1"/>
  <c r="J2" i="1"/>
  <c r="M10" i="1" l="1"/>
</calcChain>
</file>

<file path=xl/sharedStrings.xml><?xml version="1.0" encoding="utf-8"?>
<sst xmlns="http://schemas.openxmlformats.org/spreadsheetml/2006/main" count="59" uniqueCount="24">
  <si>
    <t>Modell</t>
  </si>
  <si>
    <t>Proz</t>
  </si>
  <si>
    <t>Speicher</t>
  </si>
  <si>
    <t>Festplatte</t>
  </si>
  <si>
    <t>Display</t>
  </si>
  <si>
    <t>Anzahl</t>
  </si>
  <si>
    <t>Ankaufspreis exkl. Ust</t>
  </si>
  <si>
    <t>Verkaufspreis an die Mitarbieter exkl. Ust</t>
  </si>
  <si>
    <t>Verkaufspreis an die Mitarbieter inkl. Ust</t>
  </si>
  <si>
    <t>HP EliteBook 830 G5</t>
  </si>
  <si>
    <t>i7-8650U</t>
  </si>
  <si>
    <t>16 GB RAM</t>
  </si>
  <si>
    <t>500 GB SSD</t>
  </si>
  <si>
    <t>13,3"</t>
  </si>
  <si>
    <t>32 GB RAM</t>
  </si>
  <si>
    <t>HP EliteBook 830 G6</t>
  </si>
  <si>
    <t>HP EliteBook 850 G5</t>
  </si>
  <si>
    <t>15,6"</t>
  </si>
  <si>
    <t>1 TB SSD</t>
  </si>
  <si>
    <t>HP EliteBook 850 G6</t>
  </si>
  <si>
    <t>HP ZBook 15 G5</t>
  </si>
  <si>
    <t>i7-8850H CPU @ 2.60GHz</t>
  </si>
  <si>
    <t>HP ZBook 15 G6</t>
  </si>
  <si>
    <t>i7-9850H CPU @ 2.60GHz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</si>
</sst>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\-&quot;€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8" fontId="0" fillId="0" borderId="0" xfId="0" applyNumberFormat="1"/>
    <xf numFmtId="8" fontId="2" fillId="0" borderId="4" xfId="0" applyNumberFormat="1" applyFont="1" applyBorder="1" applyAlignment="1">
      <alignment horizontal="right" vertical="center"/>
    </xf>
    <xf numFmtId="8" fontId="4" fillId="0" borderId="4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9" fontId="0" fillId="0" borderId="0" xfId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8ED2-C605-41A4-B2DF-95B88CDD7CBE}">
  <dimension ref="A1:M12"/>
  <sheetViews>
    <sheetView tabSelected="1" workbookViewId="0">
      <selection activeCell="G12" sqref="G12"/>
    </sheetView>
  </sheetViews>
  <sheetFormatPr baseColWidth="10" defaultRowHeight="15" x14ac:dyDescent="0.25"/>
  <cols>
    <col min="1" max="1" width="18.5703125" bestFit="1" customWidth="1"/>
  </cols>
  <sheetData>
    <row r="1" spans="1:13" ht="57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L1">
        <v>60</v>
      </c>
    </row>
    <row r="2" spans="1:13" ht="15.75" thickBot="1" x14ac:dyDescent="0.3">
      <c r="A2" s="3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6">
        <v>76</v>
      </c>
      <c r="G2" s="8">
        <v>60</v>
      </c>
      <c r="H2" s="8">
        <v>141.66999999999999</v>
      </c>
      <c r="I2" s="8">
        <v>170</v>
      </c>
      <c r="J2" s="7">
        <f>I2/1.2</f>
        <v>141.66666666666669</v>
      </c>
      <c r="K2" s="7">
        <f>J2-H2</f>
        <v>-3.33333333330188E-3</v>
      </c>
      <c r="L2" s="7">
        <f>G2+$L$1</f>
        <v>120</v>
      </c>
      <c r="M2" s="11">
        <f>J2/L2-1</f>
        <v>0.1805555555555558</v>
      </c>
    </row>
    <row r="3" spans="1:13" ht="15.75" thickBot="1" x14ac:dyDescent="0.3">
      <c r="A3" s="3" t="s">
        <v>9</v>
      </c>
      <c r="B3" s="4" t="s">
        <v>10</v>
      </c>
      <c r="C3" s="5" t="s">
        <v>14</v>
      </c>
      <c r="D3" s="4" t="s">
        <v>12</v>
      </c>
      <c r="E3" s="4" t="s">
        <v>13</v>
      </c>
      <c r="F3" s="6">
        <v>18</v>
      </c>
      <c r="G3" s="8">
        <v>80</v>
      </c>
      <c r="H3" s="8">
        <v>158.33000000000001</v>
      </c>
      <c r="I3" s="8">
        <v>190</v>
      </c>
      <c r="J3" s="7">
        <f t="shared" ref="J3:J11" si="0">I3/1.2</f>
        <v>158.33333333333334</v>
      </c>
      <c r="K3" s="7">
        <f t="shared" ref="K3:K11" si="1">J3-H3</f>
        <v>3.3333333333303017E-3</v>
      </c>
      <c r="L3" s="7">
        <f t="shared" ref="L3:L11" si="2">G3+$L$1</f>
        <v>140</v>
      </c>
      <c r="M3" s="11">
        <f t="shared" ref="M3:M11" si="3">J3/L3-1</f>
        <v>0.13095238095238093</v>
      </c>
    </row>
    <row r="4" spans="1:13" ht="15.75" thickBot="1" x14ac:dyDescent="0.3">
      <c r="A4" s="3" t="s">
        <v>15</v>
      </c>
      <c r="B4" s="4" t="s">
        <v>10</v>
      </c>
      <c r="C4" s="5" t="s">
        <v>11</v>
      </c>
      <c r="D4" s="4" t="s">
        <v>12</v>
      </c>
      <c r="E4" s="4" t="s">
        <v>13</v>
      </c>
      <c r="F4" s="6">
        <v>8</v>
      </c>
      <c r="G4" s="8">
        <v>80</v>
      </c>
      <c r="H4" s="8">
        <v>158.33000000000001</v>
      </c>
      <c r="I4" s="8">
        <v>190</v>
      </c>
      <c r="J4" s="7">
        <f t="shared" si="0"/>
        <v>158.33333333333334</v>
      </c>
      <c r="K4" s="7">
        <f t="shared" si="1"/>
        <v>3.3333333333303017E-3</v>
      </c>
      <c r="L4" s="7">
        <f t="shared" si="2"/>
        <v>140</v>
      </c>
      <c r="M4" s="11">
        <f t="shared" si="3"/>
        <v>0.13095238095238093</v>
      </c>
    </row>
    <row r="5" spans="1:13" ht="15.75" thickBot="1" x14ac:dyDescent="0.3">
      <c r="A5" s="3" t="s">
        <v>16</v>
      </c>
      <c r="B5" s="4" t="s">
        <v>10</v>
      </c>
      <c r="C5" s="5" t="s">
        <v>11</v>
      </c>
      <c r="D5" s="4" t="s">
        <v>12</v>
      </c>
      <c r="E5" s="4" t="s">
        <v>17</v>
      </c>
      <c r="F5" s="6">
        <v>125</v>
      </c>
      <c r="G5" s="9">
        <v>110</v>
      </c>
      <c r="H5" s="9">
        <v>225</v>
      </c>
      <c r="I5" s="9">
        <v>250</v>
      </c>
      <c r="J5" s="7">
        <f t="shared" si="0"/>
        <v>208.33333333333334</v>
      </c>
      <c r="K5" s="7">
        <f t="shared" si="1"/>
        <v>-16.666666666666657</v>
      </c>
      <c r="L5" s="7">
        <f t="shared" si="2"/>
        <v>170</v>
      </c>
      <c r="M5" s="11">
        <f t="shared" si="3"/>
        <v>0.22549019607843146</v>
      </c>
    </row>
    <row r="6" spans="1:13" ht="15.75" thickBot="1" x14ac:dyDescent="0.3">
      <c r="A6" s="3" t="s">
        <v>16</v>
      </c>
      <c r="B6" s="4" t="s">
        <v>10</v>
      </c>
      <c r="C6" s="5" t="s">
        <v>14</v>
      </c>
      <c r="D6" s="4" t="s">
        <v>12</v>
      </c>
      <c r="E6" s="4" t="s">
        <v>17</v>
      </c>
      <c r="F6" s="6">
        <v>20</v>
      </c>
      <c r="G6" s="8">
        <v>140</v>
      </c>
      <c r="H6" s="8">
        <v>241.67</v>
      </c>
      <c r="I6" s="8">
        <v>290</v>
      </c>
      <c r="J6" s="7">
        <f t="shared" si="0"/>
        <v>241.66666666666669</v>
      </c>
      <c r="K6" s="7">
        <f t="shared" si="1"/>
        <v>-3.33333333330188E-3</v>
      </c>
      <c r="L6" s="7">
        <f t="shared" si="2"/>
        <v>200</v>
      </c>
      <c r="M6" s="11">
        <f t="shared" si="3"/>
        <v>0.20833333333333348</v>
      </c>
    </row>
    <row r="7" spans="1:13" ht="15.75" thickBot="1" x14ac:dyDescent="0.3">
      <c r="A7" s="3" t="s">
        <v>16</v>
      </c>
      <c r="B7" s="4" t="s">
        <v>10</v>
      </c>
      <c r="C7" s="5" t="s">
        <v>14</v>
      </c>
      <c r="D7" s="4" t="s">
        <v>18</v>
      </c>
      <c r="E7" s="4" t="s">
        <v>17</v>
      </c>
      <c r="F7" s="6">
        <v>154</v>
      </c>
      <c r="G7" s="8">
        <v>165</v>
      </c>
      <c r="H7" s="8">
        <v>258.33</v>
      </c>
      <c r="I7" s="8">
        <v>310</v>
      </c>
      <c r="J7" s="7">
        <f t="shared" si="0"/>
        <v>258.33333333333337</v>
      </c>
      <c r="K7" s="7">
        <f t="shared" si="1"/>
        <v>3.3333333333871451E-3</v>
      </c>
      <c r="L7" s="7">
        <f t="shared" si="2"/>
        <v>225</v>
      </c>
      <c r="M7" s="11">
        <f t="shared" si="3"/>
        <v>0.14814814814814836</v>
      </c>
    </row>
    <row r="8" spans="1:13" ht="15.75" thickBot="1" x14ac:dyDescent="0.3">
      <c r="A8" s="3" t="s">
        <v>19</v>
      </c>
      <c r="B8" s="4" t="s">
        <v>10</v>
      </c>
      <c r="C8" s="5" t="s">
        <v>11</v>
      </c>
      <c r="D8" s="4" t="s">
        <v>12</v>
      </c>
      <c r="E8" s="4" t="s">
        <v>17</v>
      </c>
      <c r="F8" s="6">
        <v>12</v>
      </c>
      <c r="G8" s="8">
        <v>150</v>
      </c>
      <c r="H8" s="8">
        <v>241.67</v>
      </c>
      <c r="I8" s="8">
        <v>290</v>
      </c>
      <c r="J8" s="7">
        <f t="shared" si="0"/>
        <v>241.66666666666669</v>
      </c>
      <c r="K8" s="7">
        <f t="shared" si="1"/>
        <v>-3.33333333330188E-3</v>
      </c>
      <c r="L8" s="7">
        <f t="shared" si="2"/>
        <v>210</v>
      </c>
      <c r="M8" s="11">
        <f t="shared" si="3"/>
        <v>0.15079365079365092</v>
      </c>
    </row>
    <row r="9" spans="1:13" ht="15.75" thickBot="1" x14ac:dyDescent="0.3">
      <c r="A9" s="3" t="s">
        <v>19</v>
      </c>
      <c r="B9" s="4" t="s">
        <v>10</v>
      </c>
      <c r="C9" s="5" t="s">
        <v>14</v>
      </c>
      <c r="D9" s="4" t="s">
        <v>18</v>
      </c>
      <c r="E9" s="4" t="s">
        <v>17</v>
      </c>
      <c r="F9" s="6">
        <v>20</v>
      </c>
      <c r="G9" s="8">
        <v>180</v>
      </c>
      <c r="H9" s="8">
        <v>275</v>
      </c>
      <c r="I9" s="8">
        <v>330</v>
      </c>
      <c r="J9" s="7">
        <f t="shared" si="0"/>
        <v>275</v>
      </c>
      <c r="K9" s="7">
        <f t="shared" si="1"/>
        <v>0</v>
      </c>
      <c r="L9" s="7">
        <f t="shared" si="2"/>
        <v>240</v>
      </c>
      <c r="M9" s="11">
        <f t="shared" si="3"/>
        <v>0.14583333333333326</v>
      </c>
    </row>
    <row r="10" spans="1:13" ht="15.75" thickBot="1" x14ac:dyDescent="0.3">
      <c r="A10" s="3" t="s">
        <v>20</v>
      </c>
      <c r="B10" s="4" t="s">
        <v>21</v>
      </c>
      <c r="C10" s="5" t="s">
        <v>14</v>
      </c>
      <c r="D10" s="4" t="s">
        <v>18</v>
      </c>
      <c r="E10" s="4" t="s">
        <v>17</v>
      </c>
      <c r="F10" s="6">
        <v>38</v>
      </c>
      <c r="G10" s="8">
        <v>270</v>
      </c>
      <c r="H10" s="8">
        <v>325</v>
      </c>
      <c r="I10" s="8">
        <v>410</v>
      </c>
      <c r="J10" s="7">
        <f t="shared" si="0"/>
        <v>341.66666666666669</v>
      </c>
      <c r="K10" s="7">
        <f t="shared" si="1"/>
        <v>16.666666666666686</v>
      </c>
      <c r="L10" s="7">
        <f t="shared" si="2"/>
        <v>330</v>
      </c>
      <c r="M10" s="11">
        <f t="shared" si="3"/>
        <v>3.535353535353547E-2</v>
      </c>
    </row>
    <row r="11" spans="1:13" ht="15.75" thickBot="1" x14ac:dyDescent="0.3">
      <c r="A11" s="3" t="s">
        <v>22</v>
      </c>
      <c r="B11" s="4" t="s">
        <v>23</v>
      </c>
      <c r="C11" s="5" t="s">
        <v>14</v>
      </c>
      <c r="D11" s="4" t="s">
        <v>18</v>
      </c>
      <c r="E11" s="4" t="s">
        <v>17</v>
      </c>
      <c r="F11" s="6">
        <v>3</v>
      </c>
      <c r="G11" s="8">
        <v>310</v>
      </c>
      <c r="H11" s="8">
        <v>366.67</v>
      </c>
      <c r="I11" s="8">
        <v>460</v>
      </c>
      <c r="J11" s="7">
        <f t="shared" si="0"/>
        <v>383.33333333333337</v>
      </c>
      <c r="K11" s="7">
        <f t="shared" si="1"/>
        <v>16.663333333333355</v>
      </c>
      <c r="L11" s="7">
        <f t="shared" si="2"/>
        <v>370</v>
      </c>
      <c r="M11" s="11">
        <f t="shared" si="3"/>
        <v>3.6036036036036112E-2</v>
      </c>
    </row>
    <row r="12" spans="1:13" x14ac:dyDescent="0.25">
      <c r="A12" s="1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2024-04-10T12:51:34Z</dcterms:created>
  <dcterms:modified xsi:type="dcterms:W3CDTF">2024-04-10T14:28:42Z</dcterms:modified>
</cp:coreProperties>
</file>