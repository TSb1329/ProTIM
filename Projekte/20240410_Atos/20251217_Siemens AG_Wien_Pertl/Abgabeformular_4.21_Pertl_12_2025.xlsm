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2.xml" ContentType="application/vnd.openxmlformats-officedocument.drawing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62F9E958-00F4-224C-1CEB-3A4BEE276A53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siemens-my.sharepoint.com/personal/andreas_pertl_siemens_com/Documents/BSP/_SRE/Inventar/"/>
    </mc:Choice>
  </mc:AlternateContent>
  <xr:revisionPtr revIDLastSave="62" documentId="8_{E1D19833-45ED-4CED-82EF-5ECBA0792E81}" xr6:coauthVersionLast="47" xr6:coauthVersionMax="47" xr10:uidLastSave="{19B605D7-9C0D-4575-AC17-D98C94E44DFE}"/>
  <workbookProtection workbookAlgorithmName="SHA-512" workbookHashValue="3sYMAPCTVYhFgsOyw5gXS6vFtXxtdoTLPHcfHA1sgaORlwKfAGJSJOb083jYSZtCXHh4HTjLnyQbqpkukXcCew==" workbookSaltValue="b+aoYX2DiBO+sOVnb6mX2g==" workbookSpinCount="100000" lockStructure="1"/>
  <bookViews>
    <workbookView xWindow="-46188" yWindow="-48" windowWidth="23256" windowHeight="12456" tabRatio="416" xr2:uid="{00000000-000D-0000-FFFF-FFFF00000000}"/>
  </bookViews>
  <sheets>
    <sheet name="Erfassungsblatt" sheetId="1" r:id="rId1"/>
    <sheet name="Abfallcode" sheetId="2" r:id="rId2"/>
    <sheet name="BSPs" sheetId="4" r:id="rId3"/>
    <sheet name="Produkte" sheetId="5" r:id="rId4"/>
    <sheet name="Releasenotes" sheetId="6" r:id="rId5"/>
    <sheet name="Parameter" sheetId="7" state="hidden" r:id="rId6"/>
    <sheet name="Mail_Entsorgung" sheetId="11" state="hidden" r:id="rId7"/>
  </sheets>
  <definedNames>
    <definedName name="_xlnm._FilterDatabase" localSheetId="2" hidden="1">BSPs!$A$1:$L$50</definedName>
    <definedName name="BSPnn">BSPs!$A$2:$A$35</definedName>
    <definedName name="_xlnm.Print_Area" localSheetId="0">Erfassungsblatt!$A$1:$K$57</definedName>
    <definedName name="Produkt">Produkte!$A$2:$A$24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" l="1"/>
  <c r="L26" i="4"/>
  <c r="J26" i="4"/>
  <c r="J29" i="4" l="1"/>
  <c r="L8" i="4"/>
  <c r="J8" i="4"/>
  <c r="L29" i="4"/>
  <c r="L28" i="4"/>
  <c r="J28" i="4"/>
  <c r="L27" i="4"/>
  <c r="J27" i="4"/>
  <c r="L25" i="4"/>
  <c r="J25" i="4"/>
  <c r="L24" i="4"/>
  <c r="J24" i="4"/>
  <c r="L23" i="4"/>
  <c r="J23" i="4"/>
  <c r="L22" i="4"/>
  <c r="J22" i="4"/>
  <c r="L21" i="4"/>
  <c r="J21" i="4"/>
  <c r="L20" i="4"/>
  <c r="J20" i="4"/>
  <c r="L19" i="4"/>
  <c r="J19" i="4"/>
  <c r="L18" i="4"/>
  <c r="J18" i="4"/>
  <c r="L17" i="4"/>
  <c r="J17" i="4"/>
  <c r="L16" i="4"/>
  <c r="J16" i="4"/>
  <c r="L15" i="4"/>
  <c r="J15" i="4"/>
  <c r="J14" i="4"/>
  <c r="L13" i="4"/>
  <c r="J13" i="4"/>
  <c r="J12" i="4"/>
  <c r="L11" i="4"/>
  <c r="J11" i="4"/>
  <c r="L10" i="4"/>
  <c r="J10" i="4"/>
  <c r="L9" i="4"/>
  <c r="J9" i="4"/>
  <c r="L7" i="4"/>
  <c r="J7" i="4"/>
  <c r="L6" i="4"/>
  <c r="J6" i="4"/>
  <c r="J5" i="4"/>
  <c r="J4" i="4"/>
  <c r="L3" i="4"/>
  <c r="J3" i="4"/>
  <c r="L2" i="4"/>
  <c r="J2" i="4"/>
  <c r="J30" i="4"/>
  <c r="J31" i="4"/>
  <c r="J32" i="4"/>
  <c r="J33" i="4"/>
  <c r="J34" i="4"/>
  <c r="J35" i="4"/>
  <c r="J36" i="4"/>
  <c r="J37" i="4"/>
  <c r="J38" i="4"/>
  <c r="J39" i="4"/>
  <c r="J40" i="4"/>
  <c r="J41" i="4"/>
  <c r="L40" i="4"/>
  <c r="L41" i="4"/>
  <c r="J42" i="4"/>
  <c r="J43" i="4"/>
  <c r="J44" i="4"/>
  <c r="J45" i="4"/>
  <c r="J46" i="4"/>
  <c r="J47" i="4"/>
  <c r="J48" i="4"/>
  <c r="J49" i="4"/>
  <c r="J50" i="4"/>
  <c r="L37" i="4"/>
  <c r="L38" i="4"/>
  <c r="L39" i="4"/>
  <c r="L42" i="4"/>
  <c r="L43" i="4"/>
  <c r="L44" i="4"/>
  <c r="L45" i="4"/>
  <c r="L46" i="4"/>
  <c r="L47" i="4"/>
  <c r="L48" i="4"/>
  <c r="L49" i="4"/>
  <c r="L50" i="4"/>
  <c r="L36" i="4"/>
  <c r="F18" i="7" l="1"/>
  <c r="K21" i="7"/>
  <c r="G9" i="1"/>
  <c r="H9" i="1" s="1"/>
  <c r="G10" i="1"/>
  <c r="H10" i="1" s="1"/>
  <c r="G11" i="1"/>
  <c r="H11" i="1" s="1"/>
  <c r="G12" i="1"/>
  <c r="H12" i="1" s="1"/>
  <c r="H13" i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8" i="1"/>
  <c r="H8" i="1" s="1"/>
  <c r="L30" i="4"/>
  <c r="L31" i="4"/>
  <c r="L32" i="4"/>
  <c r="L33" i="4"/>
  <c r="L34" i="4"/>
  <c r="L35" i="4"/>
  <c r="A5" i="1"/>
  <c r="A4" i="1" l="1"/>
</calcChain>
</file>

<file path=xl/sharedStrings.xml><?xml version="1.0" encoding="utf-8"?>
<sst xmlns="http://schemas.openxmlformats.org/spreadsheetml/2006/main" count="554" uniqueCount="334">
  <si>
    <t>Abgebender BSP:</t>
  </si>
  <si>
    <t>Standort Abholung:</t>
  </si>
  <si>
    <t>fortlaufende
Nummer</t>
  </si>
  <si>
    <t>FAM-Antrag</t>
  </si>
  <si>
    <t>Status</t>
  </si>
  <si>
    <t>Inventarnummer</t>
  </si>
  <si>
    <t>Ser. Nr.
IMEI Nr.</t>
  </si>
  <si>
    <t>Produkt</t>
  </si>
  <si>
    <t>Produktklasse</t>
  </si>
  <si>
    <t>Abfallcode</t>
  </si>
  <si>
    <t>Menge</t>
  </si>
  <si>
    <t>Bemerkung
(z.B. BIOS PW nicht gelöscht, ohne Akku, …)</t>
  </si>
  <si>
    <t>übergeben an IT4NEXT am:</t>
  </si>
  <si>
    <t>Erstellt:</t>
  </si>
  <si>
    <t>Martin Kobsik</t>
  </si>
  <si>
    <t>TFT Monitor</t>
  </si>
  <si>
    <t>Plotter</t>
  </si>
  <si>
    <t>Smartphone</t>
  </si>
  <si>
    <t>Handy</t>
  </si>
  <si>
    <t>Notebook</t>
  </si>
  <si>
    <t>Tablet</t>
  </si>
  <si>
    <t>PC</t>
  </si>
  <si>
    <t>Programmiergerät</t>
  </si>
  <si>
    <t>Tastatur</t>
  </si>
  <si>
    <t>Maus</t>
  </si>
  <si>
    <t>sonst. IT Kleinmaterial</t>
  </si>
  <si>
    <t>VoIP Hardphones / analoge Hardphones / dig. Hardphones</t>
  </si>
  <si>
    <t>Beamer</t>
  </si>
  <si>
    <t>Laserdrucker</t>
  </si>
  <si>
    <t>Tintenstrahldrucker</t>
  </si>
  <si>
    <t>Surname (int.)</t>
  </si>
  <si>
    <t>Given name (int.)</t>
  </si>
  <si>
    <t>Geschlecht</t>
  </si>
  <si>
    <t>Location</t>
  </si>
  <si>
    <t>Building</t>
  </si>
  <si>
    <t>Room</t>
  </si>
  <si>
    <t>GID</t>
  </si>
  <si>
    <t>Mobile</t>
  </si>
  <si>
    <t>E-mail</t>
  </si>
  <si>
    <t>Adresse</t>
  </si>
  <si>
    <t>Standortadresse</t>
  </si>
  <si>
    <t>Name</t>
  </si>
  <si>
    <t>Boska</t>
  </si>
  <si>
    <t>Peter</t>
  </si>
  <si>
    <t>Herr</t>
  </si>
  <si>
    <t>VIE LEB</t>
  </si>
  <si>
    <t>B100</t>
  </si>
  <si>
    <t>Z0008UTP</t>
  </si>
  <si>
    <t xml:space="preserve">+43 (664) 8011724777 </t>
  </si>
  <si>
    <t xml:space="preserve">peter.boska@siemens.com </t>
  </si>
  <si>
    <t>1110 Wien, Leberstrasse 34</t>
  </si>
  <si>
    <t>Franz</t>
  </si>
  <si>
    <t>Michael</t>
  </si>
  <si>
    <t>VIE SIE</t>
  </si>
  <si>
    <t>BAU22</t>
  </si>
  <si>
    <t>Z00016IW</t>
  </si>
  <si>
    <t xml:space="preserve">+43 (664) 88550025 </t>
  </si>
  <si>
    <t xml:space="preserve">michael.m.franz@siemens.com </t>
  </si>
  <si>
    <t>1210 Wien, Siemensstrasse 90 (Einfahrt Heinrich-von-Buol Gasse 5)</t>
  </si>
  <si>
    <t>Galowsky</t>
  </si>
  <si>
    <t>Dennis</t>
  </si>
  <si>
    <t>GEBAEUDE 60</t>
  </si>
  <si>
    <t>60.10.094</t>
  </si>
  <si>
    <t>Z0040SCK</t>
  </si>
  <si>
    <t>+43 (664) 88558227</t>
  </si>
  <si>
    <t>dennis.galowsky@siemens.com</t>
  </si>
  <si>
    <t>Holzbauer</t>
  </si>
  <si>
    <t>Mario</t>
  </si>
  <si>
    <t>GRZ EGGEN</t>
  </si>
  <si>
    <t>B040</t>
  </si>
  <si>
    <t>40.233</t>
  </si>
  <si>
    <t>Z0042VPR</t>
  </si>
  <si>
    <t>+43 (664) 88558125</t>
  </si>
  <si>
    <t>mario.holzbauer@siemens.com</t>
  </si>
  <si>
    <t>8020 Graz, Eggenberger Strasse 31</t>
  </si>
  <si>
    <t>Jungmann</t>
  </si>
  <si>
    <t>Gerhard</t>
  </si>
  <si>
    <t>Bau 34</t>
  </si>
  <si>
    <t>Z0001C7F</t>
  </si>
  <si>
    <t xml:space="preserve">+43 (664) 6153131 </t>
  </si>
  <si>
    <t xml:space="preserve">gerhard.jungmann@siemens.com </t>
  </si>
  <si>
    <t>Kerschbaumer</t>
  </si>
  <si>
    <t>Karlheinz</t>
  </si>
  <si>
    <t>KLU NLK</t>
  </si>
  <si>
    <t>E06</t>
  </si>
  <si>
    <t>Z00334CC</t>
  </si>
  <si>
    <t xml:space="preserve">+43 (664) 88553753 </t>
  </si>
  <si>
    <t xml:space="preserve">karlheinz.kerschbaumer.ext@siemens.com </t>
  </si>
  <si>
    <t>9020 Klagenfurt, Werner-von-Siemens-Park 1</t>
  </si>
  <si>
    <t>Kobsik</t>
  </si>
  <si>
    <t>Martin</t>
  </si>
  <si>
    <t>60.11.016</t>
  </si>
  <si>
    <t>Z001JZTW</t>
  </si>
  <si>
    <t xml:space="preserve">+43 (664) 8011724405 </t>
  </si>
  <si>
    <t xml:space="preserve">martin.kobsik@siemens.com </t>
  </si>
  <si>
    <t>Krenn</t>
  </si>
  <si>
    <t>Werner</t>
  </si>
  <si>
    <t>B163</t>
  </si>
  <si>
    <t>EG</t>
  </si>
  <si>
    <t>Z000E33R</t>
  </si>
  <si>
    <t xml:space="preserve">+43 (664) 88550008 </t>
  </si>
  <si>
    <t xml:space="preserve">werner.j.krenn@siemens.com </t>
  </si>
  <si>
    <t>Kriha</t>
  </si>
  <si>
    <t>Simon</t>
  </si>
  <si>
    <t>60.08.080</t>
  </si>
  <si>
    <t>Z000141P</t>
  </si>
  <si>
    <t xml:space="preserve">+43 (664) 8011723715 </t>
  </si>
  <si>
    <t xml:space="preserve">simon.kriha@siemens.com </t>
  </si>
  <si>
    <t>Kutzler</t>
  </si>
  <si>
    <t>Klaus-Juergen</t>
  </si>
  <si>
    <t>LNZ NLL</t>
  </si>
  <si>
    <t>BAU01</t>
  </si>
  <si>
    <t>Z003U2NM</t>
  </si>
  <si>
    <t>+43 (664) 88557398</t>
  </si>
  <si>
    <t>klaus-juergen.kutzler@siemens.com</t>
  </si>
  <si>
    <t>4020 Linz, Wolfgang-Pauli-Str. 2</t>
  </si>
  <si>
    <t>Lettenbichler</t>
  </si>
  <si>
    <t>Roman</t>
  </si>
  <si>
    <t xml:space="preserve">	INN NLI</t>
  </si>
  <si>
    <t>Z003T23Z</t>
  </si>
  <si>
    <t>+43 (664) 8011720148</t>
  </si>
  <si>
    <t>roman.lettenbichler@siemens.com</t>
  </si>
  <si>
    <t>6020 Innsbruck, Werner-von-Siemens-Str. 9</t>
  </si>
  <si>
    <t>Maikisch</t>
  </si>
  <si>
    <t>Juergen</t>
  </si>
  <si>
    <t>ENT EIS</t>
  </si>
  <si>
    <t>BAU04</t>
  </si>
  <si>
    <t>EG.01</t>
  </si>
  <si>
    <t>Z0021M4F</t>
  </si>
  <si>
    <t xml:space="preserve">+43 (664) 88550010 </t>
  </si>
  <si>
    <t xml:space="preserve">juergen.maikisch@etm.at </t>
  </si>
  <si>
    <t>7000 Eisenstadt, Marktstraße 3</t>
  </si>
  <si>
    <t>Moerth</t>
  </si>
  <si>
    <t>Kurt</t>
  </si>
  <si>
    <t>BRG NLB</t>
  </si>
  <si>
    <t>Z00334BX</t>
  </si>
  <si>
    <t xml:space="preserve">+43 (676) 4732016 </t>
  </si>
  <si>
    <t xml:space="preserve">moerth.kurt.ext@siemens.com </t>
  </si>
  <si>
    <t>6900 Bregenz, Josef-Hutter-Strasse 6</t>
  </si>
  <si>
    <t>Painer</t>
  </si>
  <si>
    <t>Manfred</t>
  </si>
  <si>
    <t>WEZ EL</t>
  </si>
  <si>
    <t>BAU HP</t>
  </si>
  <si>
    <t>E0.05</t>
  </si>
  <si>
    <t>Z001MWPF</t>
  </si>
  <si>
    <t xml:space="preserve">+43 (664) 6151626 </t>
  </si>
  <si>
    <t xml:space="preserve">manfred.painer@siemens.com </t>
  </si>
  <si>
    <t>8160 Weiz, Elingasse 3</t>
  </si>
  <si>
    <t>Pertl</t>
  </si>
  <si>
    <t>Andreas</t>
  </si>
  <si>
    <t>Z00013LA</t>
  </si>
  <si>
    <t xml:space="preserve">andreas.pertl@siemens.com </t>
  </si>
  <si>
    <t>Prandstaetter</t>
  </si>
  <si>
    <t>Klaus</t>
  </si>
  <si>
    <t>LNZ KR</t>
  </si>
  <si>
    <t>BAU B</t>
  </si>
  <si>
    <t>B214</t>
  </si>
  <si>
    <t>Z0047HEY</t>
  </si>
  <si>
    <t>+43 (664) 88558377</t>
  </si>
  <si>
    <t>klaus.prandstaetter@siemens.com</t>
  </si>
  <si>
    <t>4020 Linz, Kraussstraße 1-7</t>
  </si>
  <si>
    <t>Reisinger</t>
  </si>
  <si>
    <t>Z000181Y</t>
  </si>
  <si>
    <t xml:space="preserve">+43 (664) 8011765915 </t>
  </si>
  <si>
    <t xml:space="preserve">martin.reisinger@siemens.com </t>
  </si>
  <si>
    <t>Roemer</t>
  </si>
  <si>
    <t>Siegfried</t>
  </si>
  <si>
    <t>Z0001C5J</t>
  </si>
  <si>
    <t xml:space="preserve">+43 (664) 6153586 </t>
  </si>
  <si>
    <t xml:space="preserve">siegfried.roemer@siemens.com </t>
  </si>
  <si>
    <t>Rudischer</t>
  </si>
  <si>
    <t>Leopold</t>
  </si>
  <si>
    <t>60.02.055</t>
  </si>
  <si>
    <t>Z0001D1C</t>
  </si>
  <si>
    <t xml:space="preserve">+43 (664) 88555449 </t>
  </si>
  <si>
    <t xml:space="preserve">leopold.rudischer@siemens.com </t>
  </si>
  <si>
    <t>Schruef</t>
  </si>
  <si>
    <t>Roland</t>
  </si>
  <si>
    <t>GRZ NLG</t>
  </si>
  <si>
    <t>E03</t>
  </si>
  <si>
    <t>Z00019JU</t>
  </si>
  <si>
    <t xml:space="preserve">+43 (664) 8011763777 </t>
  </si>
  <si>
    <t xml:space="preserve">roland.schruef@siemens.com </t>
  </si>
  <si>
    <t>8053 Graz, Straßganger Strasse 315</t>
  </si>
  <si>
    <t>Schweighofer J.</t>
  </si>
  <si>
    <t>Jürgen</t>
  </si>
  <si>
    <t>Z003A53R</t>
  </si>
  <si>
    <t xml:space="preserve">+43 (664) 6150326 </t>
  </si>
  <si>
    <t xml:space="preserve">juergen.schweighofer@siemens.com </t>
  </si>
  <si>
    <t>Schweighofer H.</t>
  </si>
  <si>
    <t>Herbert</t>
  </si>
  <si>
    <t>Z001MWSX</t>
  </si>
  <si>
    <t xml:space="preserve">+43 (664) 8011716385 </t>
  </si>
  <si>
    <t xml:space="preserve">herbert.schweighofer@siemens.com </t>
  </si>
  <si>
    <t>Spirk</t>
  </si>
  <si>
    <t>Christian</t>
  </si>
  <si>
    <t>Z001N7AK</t>
  </si>
  <si>
    <t xml:space="preserve">+43 (664) 8011719108 </t>
  </si>
  <si>
    <t xml:space="preserve">christian.spirk@siemens.com </t>
  </si>
  <si>
    <t>Stattmann</t>
  </si>
  <si>
    <t>Stefan</t>
  </si>
  <si>
    <t>Z004F9NC</t>
  </si>
  <si>
    <t>+43 (664) 88555990</t>
  </si>
  <si>
    <t>stefan.stattmann.ext@siemens.com</t>
  </si>
  <si>
    <t>Treml</t>
  </si>
  <si>
    <t>BAU12</t>
  </si>
  <si>
    <t>Z00015IV</t>
  </si>
  <si>
    <t xml:space="preserve">+43 (664) 8011723792 </t>
  </si>
  <si>
    <t xml:space="preserve">werner.treml@siemens.com </t>
  </si>
  <si>
    <t>Vitzthum</t>
  </si>
  <si>
    <t>Eric</t>
  </si>
  <si>
    <t>SZG NLS</t>
  </si>
  <si>
    <t>BAU02</t>
  </si>
  <si>
    <t>Z004CPBR</t>
  </si>
  <si>
    <t>+43 (664) 88555948</t>
  </si>
  <si>
    <t>eric.vitzthum@siemens.com</t>
  </si>
  <si>
    <t>5021 Salzburg, Werner-von-Siemens-Platz 1</t>
  </si>
  <si>
    <t>Zugriegl</t>
  </si>
  <si>
    <t>E055</t>
  </si>
  <si>
    <t>Z000F1QO</t>
  </si>
  <si>
    <t xml:space="preserve">+43 (664) 8011740705 </t>
  </si>
  <si>
    <t xml:space="preserve">martin.zugriegl@siemens.com </t>
  </si>
  <si>
    <t>Detaildaten</t>
  </si>
  <si>
    <t>Beamer Deckenmontage</t>
  </si>
  <si>
    <t>Beamer tragbar</t>
  </si>
  <si>
    <t>Hardphone</t>
  </si>
  <si>
    <t>Roundtable Kamera</t>
  </si>
  <si>
    <t>Smartphone Android Plattform</t>
  </si>
  <si>
    <t>Smartphone iOS Plattform</t>
  </si>
  <si>
    <t>Smartphone Microsoft Plattform</t>
  </si>
  <si>
    <t>Soundstation</t>
  </si>
  <si>
    <t>Stand PC</t>
  </si>
  <si>
    <t>Standardhandy</t>
  </si>
  <si>
    <t>Tablet Android Plattform</t>
  </si>
  <si>
    <t>Tablet iOS Plattform</t>
  </si>
  <si>
    <t>TFT Bildschirm</t>
  </si>
  <si>
    <t>UMTS WLAN Router (div. Hersteller)</t>
  </si>
  <si>
    <t>1 Stk.</t>
  </si>
  <si>
    <t>1 Kiste</t>
  </si>
  <si>
    <t>Version</t>
  </si>
  <si>
    <t>Änderungsbeschreibung</t>
  </si>
  <si>
    <t>Durchführender</t>
  </si>
  <si>
    <t>Datum</t>
  </si>
  <si>
    <t>1.6</t>
  </si>
  <si>
    <t>Spalten K, L, M zum Beschreiben für IT4next verfügbar gemacht</t>
  </si>
  <si>
    <t>2.00</t>
  </si>
  <si>
    <t>Makro Mail an IT4Next, Anlage Parameter-Sheet, Mail Auscheidungen begonnen aber wegen Änderung der Anforderungen eingestellt. Bis klar ist, ob hier noch weitere Anforderungen kommen, habe ich die Fragmente hier belassen.</t>
  </si>
  <si>
    <t>2.01</t>
  </si>
  <si>
    <t>Jürgen Schweighofer hinzugefügt, Schweighofers mit J. bzw. H. separiert</t>
  </si>
  <si>
    <t>2.02</t>
  </si>
  <si>
    <t>Namensbereich Produkt löschen und neu definieren, damit wieder am ersten Produkt aufgesetzt wird</t>
  </si>
  <si>
    <t>2.03</t>
  </si>
  <si>
    <t>Produkte reduziert Notebooks 12'', 13', … reduziert auf Notebook</t>
  </si>
  <si>
    <t>2.04</t>
  </si>
  <si>
    <t>Jungmann aus CC entfernt</t>
  </si>
  <si>
    <t>2.05</t>
  </si>
  <si>
    <t xml:space="preserve">CC korrigiert auf Altgeraete_AT@ws307.internal.siemens.com </t>
  </si>
  <si>
    <t>2.06</t>
  </si>
  <si>
    <t>k.A. vom Dateinamen abgeleitet</t>
  </si>
  <si>
    <t>2.07</t>
  </si>
  <si>
    <t>Anpassung Makro um Blattschutz aufzuheben. Ist offensichtlich ab 365 notwendig</t>
  </si>
  <si>
    <t>4.1</t>
  </si>
  <si>
    <t>Einfügen Spalten FAM-Antrag &amp; Status statt Equipment; das Mengenfeld wurde zur freien Eingabe geändert</t>
  </si>
  <si>
    <t>4.2</t>
  </si>
  <si>
    <t>Update BSP-Liste</t>
  </si>
  <si>
    <t>Entsorger</t>
  </si>
  <si>
    <t>AN</t>
  </si>
  <si>
    <t>CC1</t>
  </si>
  <si>
    <t>CC2</t>
  </si>
  <si>
    <t>CC3</t>
  </si>
  <si>
    <t>CC4</t>
  </si>
  <si>
    <t>CC5</t>
  </si>
  <si>
    <t>logistics@i4next.com</t>
  </si>
  <si>
    <t>Betreff Mail_Entsorgung</t>
  </si>
  <si>
    <t>Body Entsorgung</t>
  </si>
  <si>
    <t xml:space="preserve">Ein Alt+Enter Eintrag </t>
  </si>
  <si>
    <t>IT-Entsorgungsauftrag</t>
  </si>
  <si>
    <t xml:space="preserve">
</t>
  </si>
  <si>
    <t>Sehr geehrte Damen und Herren,</t>
  </si>
  <si>
    <t>Bitte um Abholung der in der Anlage aufgelisteten Altteile.</t>
  </si>
  <si>
    <t>Details zum Abholort können Sie ebenfalls der Anlage entnehmen.</t>
  </si>
  <si>
    <t>Vielen Dank</t>
  </si>
  <si>
    <t>Herr Martin Kobsik ; VIE SIE ; GEBAEUDE 60 ; 60.11.016</t>
  </si>
  <si>
    <t>yx</t>
  </si>
  <si>
    <t>xdv</t>
  </si>
  <si>
    <t>Kaske</t>
  </si>
  <si>
    <t>60.07.082</t>
  </si>
  <si>
    <t>Z004M97</t>
  </si>
  <si>
    <t>+43 (664) 88557449</t>
  </si>
  <si>
    <t>peter.kaske@siemens.com</t>
  </si>
  <si>
    <t>Rev.: 4.21</t>
  </si>
  <si>
    <t>19.10.2023 MK</t>
  </si>
  <si>
    <t>4.21</t>
  </si>
  <si>
    <t>Anpassung BSP-Liste</t>
  </si>
  <si>
    <t>60.EG.112</t>
  </si>
  <si>
    <t>+43 (664) 88555365</t>
  </si>
  <si>
    <t>5CG91073KX</t>
  </si>
  <si>
    <t>5CG91073DV</t>
  </si>
  <si>
    <t>ProBook 640 G4, BIOS PW nicht gelöscht</t>
  </si>
  <si>
    <t>5CG8497HVZ</t>
  </si>
  <si>
    <t>5CG90409FS</t>
  </si>
  <si>
    <t>5CG9431C6F</t>
  </si>
  <si>
    <t>ProBook 650 G4, BIOS PW nicht gelöscht</t>
  </si>
  <si>
    <t>5CG9431C6N</t>
  </si>
  <si>
    <t>5CG0150QWR</t>
  </si>
  <si>
    <t>ProBook 650 G5, BIOS PW nicht gelöscht</t>
  </si>
  <si>
    <t>5CG9502JKK</t>
  </si>
  <si>
    <t>5CG05269KR</t>
  </si>
  <si>
    <t>5CG0477HKX</t>
  </si>
  <si>
    <t>5CG0514S22</t>
  </si>
  <si>
    <t>5CG9502JKP</t>
  </si>
  <si>
    <t>5CD2479ZVY</t>
  </si>
  <si>
    <t>EliteBook 650 G9, BIOS PW nicht gelöscht</t>
  </si>
  <si>
    <t>5CG9381Z0G</t>
  </si>
  <si>
    <t>EliteBook 830 G5, BIOS PW nicht gelöscht</t>
  </si>
  <si>
    <t>5CG8304174</t>
  </si>
  <si>
    <t>5CG902134Z</t>
  </si>
  <si>
    <t>5CG9115NFQ</t>
  </si>
  <si>
    <t>5CG7482D2F</t>
  </si>
  <si>
    <t>ProBook 650 G2, BIOS PW nicht gelöscht</t>
  </si>
  <si>
    <t>x</t>
  </si>
  <si>
    <t>62143043</t>
  </si>
  <si>
    <t>62143061</t>
  </si>
  <si>
    <t>62142655</t>
  </si>
  <si>
    <t>62142437</t>
  </si>
  <si>
    <t>62143274</t>
  </si>
  <si>
    <t>62144163</t>
  </si>
  <si>
    <t>62144165</t>
  </si>
  <si>
    <t>62143825</t>
  </si>
  <si>
    <t>62141857</t>
  </si>
  <si>
    <t>62143263</t>
  </si>
  <si>
    <t>62139652</t>
  </si>
  <si>
    <t>FAM-26-9548</t>
  </si>
  <si>
    <t>i.B.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</si>
</sst>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theme="1"/>
      <name val="Arial"/>
      <family val="2"/>
    </font>
    <font>
      <sz val="22"/>
      <color theme="1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6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</fills>
  <borders count="2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  <border>
      <left style="thin">
        <color rgb="FFEEECE1"/>
      </left>
      <right style="thin">
        <color rgb="FFEEECE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dotted">
        <color rgb="FF999999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51">
    <xf numFmtId="0" fontId="0" fillId="0" borderId="0" xfId="0"/>
    <xf numFmtId="0" fontId="2" fillId="3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4" fillId="0" borderId="0" xfId="0" applyFont="1"/>
    <xf numFmtId="0" fontId="5" fillId="0" borderId="0" xfId="0" applyFont="1"/>
    <xf numFmtId="14" fontId="5" fillId="0" borderId="0" xfId="0" applyNumberFormat="1" applyFont="1" applyAlignment="1">
      <alignment horizontal="left"/>
    </xf>
    <xf numFmtId="0" fontId="0" fillId="0" borderId="3" xfId="0" applyBorder="1" applyProtection="1">
      <protection locked="0"/>
    </xf>
    <xf numFmtId="0" fontId="1" fillId="2" borderId="2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4" borderId="6" xfId="0" applyFill="1" applyBorder="1" applyAlignment="1" applyProtection="1">
      <alignment horizontal="center"/>
      <protection locked="0"/>
    </xf>
    <xf numFmtId="0" fontId="0" fillId="4" borderId="6" xfId="0" applyFill="1" applyBorder="1" applyAlignment="1" applyProtection="1">
      <alignment horizontal="center" wrapText="1"/>
      <protection locked="0"/>
    </xf>
    <xf numFmtId="0" fontId="0" fillId="0" borderId="3" xfId="0" applyBorder="1" applyAlignment="1">
      <alignment horizontal="center"/>
    </xf>
    <xf numFmtId="0" fontId="0" fillId="0" borderId="3" xfId="0" applyBorder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 wrapText="1"/>
    </xf>
    <xf numFmtId="0" fontId="0" fillId="0" borderId="3" xfId="0" applyBorder="1" applyAlignment="1" applyProtection="1">
      <alignment horizontal="center"/>
      <protection locked="0"/>
    </xf>
    <xf numFmtId="49" fontId="0" fillId="0" borderId="3" xfId="0" applyNumberFormat="1" applyBorder="1" applyProtection="1">
      <protection locked="0"/>
    </xf>
    <xf numFmtId="0" fontId="0" fillId="0" borderId="5" xfId="0" applyBorder="1"/>
    <xf numFmtId="49" fontId="0" fillId="0" borderId="3" xfId="0" quotePrefix="1" applyNumberFormat="1" applyBorder="1" applyProtection="1">
      <protection locked="0"/>
    </xf>
    <xf numFmtId="0" fontId="6" fillId="0" borderId="3" xfId="1" applyBorder="1" applyAlignment="1">
      <alignment textRotation="90"/>
      <protection locked="0"/>
    </xf>
    <xf numFmtId="0" fontId="0" fillId="0" borderId="17" xfId="0" applyBorder="1" applyProtection="1">
      <protection locked="0"/>
    </xf>
    <xf numFmtId="0" fontId="0" fillId="0" borderId="19" xfId="0" applyBorder="1" applyAlignment="1" applyProtection="1">
      <alignment wrapText="1"/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quotePrefix="1"/>
    <xf numFmtId="0" fontId="6" fillId="0" borderId="0" xfId="1" applyAlignment="1" applyProtection="1"/>
    <xf numFmtId="0" fontId="0" fillId="5" borderId="0" xfId="0" applyFill="1"/>
    <xf numFmtId="0" fontId="6" fillId="6" borderId="23" xfId="1" applyFill="1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left"/>
      <protection locked="0"/>
    </xf>
    <xf numFmtId="0" fontId="1" fillId="2" borderId="7" xfId="0" applyFont="1" applyFill="1" applyBorder="1" applyAlignment="1" applyProtection="1">
      <alignment horizontal="left"/>
      <protection locked="0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22" xfId="0" applyBorder="1" applyProtection="1">
      <protection locked="0"/>
    </xf>
    <xf numFmtId="49" fontId="0" fillId="0" borderId="3" xfId="0" quotePrefix="1" applyNumberFormat="1" applyFill="1" applyBorder="1" applyProtection="1">
      <protection locked="0"/>
    </xf>
    <xf numFmtId="49" fontId="0" fillId="0" borderId="3" xfId="0" applyNumberFormat="1" applyFill="1" applyBorder="1" applyProtection="1">
      <protection locked="0"/>
    </xf>
  </cellXfs>
  <cellStyles count="2">
    <cellStyle name="Link" xfId="1" builtinId="8"/>
    <cellStyle name="Standard" xfId="0" builtinId="0"/>
  </cellStyles>
  <dxfs count="61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899160</xdr:colOff>
      <xdr:row>0</xdr:row>
      <xdr:rowOff>83820</xdr:rowOff>
    </xdr:from>
    <xdr:to>
      <xdr:col>6</xdr:col>
      <xdr:colOff>3810</xdr:colOff>
      <xdr:row>5</xdr:row>
      <xdr:rowOff>45720</xdr:rowOff>
    </xdr:to>
    <xdr:pic macro="[0]!SendENTSORGUNG"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38900" y="83820"/>
          <a:ext cx="1485900" cy="10287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</xdr:colOff>
      <xdr:row>2</xdr:row>
      <xdr:rowOff>30480</xdr:rowOff>
    </xdr:from>
    <xdr:to>
      <xdr:col>1</xdr:col>
      <xdr:colOff>708660</xdr:colOff>
      <xdr:row>8</xdr:row>
      <xdr:rowOff>53340</xdr:rowOff>
    </xdr:to>
    <xdr:pic macro="[0]!SendENTSORGUNG">
      <xdr:nvPicPr>
        <xdr:cNvPr id="2050" name="Picture 2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" y="365760"/>
          <a:ext cx="1485900" cy="10287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22860</xdr:colOff>
      <xdr:row>8</xdr:row>
      <xdr:rowOff>30480</xdr:rowOff>
    </xdr:from>
    <xdr:to>
      <xdr:col>1</xdr:col>
      <xdr:colOff>708660</xdr:colOff>
      <xdr:row>14</xdr:row>
      <xdr:rowOff>53340</xdr:rowOff>
    </xdr:to>
    <xdr:pic macro="[0]!SendAUSSCHEIDUNG">
      <xdr:nvPicPr>
        <xdr:cNvPr id="2052" name="Picture 4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2860" y="1371600"/>
          <a:ext cx="1478280" cy="10287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eric.vitzthum@siemens.com" TargetMode="External"/><Relationship Id="rId2" Type="http://schemas.openxmlformats.org/officeDocument/2006/relationships/hyperlink" Target="mailto:eric.vitzthum@siemens.com" TargetMode="External"/><Relationship Id="rId1" Type="http://schemas.openxmlformats.org/officeDocument/2006/relationships/hyperlink" Target="mailto:roman.lettenbichler@siemens.com" TargetMode="External"/><Relationship Id="rId5" Type="http://schemas.openxmlformats.org/officeDocument/2006/relationships/customProperty" Target="../customProperty3.bin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logistics@i4next.com" TargetMode="External"/><Relationship Id="rId4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N69"/>
  <sheetViews>
    <sheetView tabSelected="1" workbookViewId="0">
      <pane ySplit="7" topLeftCell="A8" activePane="bottomLeft" state="frozenSplit"/>
      <selection pane="bottomLeft" activeCell="C28" sqref="C28"/>
    </sheetView>
  </sheetViews>
  <sheetFormatPr baseColWidth="10" defaultColWidth="11.44140625" defaultRowHeight="13.2" x14ac:dyDescent="0.25"/>
  <cols>
    <col min="2" max="2" width="19.5546875" customWidth="1"/>
    <col min="3" max="3" width="7.88671875" customWidth="1"/>
    <col min="4" max="4" width="24" customWidth="1"/>
    <col min="5" max="5" width="28.33203125" customWidth="1"/>
    <col min="6" max="6" width="34.88671875" customWidth="1"/>
    <col min="7" max="7" width="12.88671875" customWidth="1"/>
    <col min="8" max="9" width="10.33203125" customWidth="1"/>
    <col min="10" max="10" width="57.109375" customWidth="1"/>
    <col min="11" max="11" width="28.6640625" customWidth="1"/>
    <col min="12" max="14" width="4.44140625" style="9" customWidth="1"/>
  </cols>
  <sheetData>
    <row r="1" spans="1:11" ht="28.8" thickTop="1" thickBot="1" x14ac:dyDescent="0.5">
      <c r="A1" s="32" t="s">
        <v>0</v>
      </c>
      <c r="B1" s="33"/>
      <c r="C1" s="33"/>
      <c r="D1" s="33"/>
      <c r="E1" s="8" t="s">
        <v>148</v>
      </c>
      <c r="G1" s="9"/>
      <c r="H1" s="9"/>
      <c r="I1" s="9"/>
      <c r="J1" s="9"/>
      <c r="K1" s="9"/>
    </row>
    <row r="2" spans="1:11" ht="14.4" thickTop="1" thickBot="1" x14ac:dyDescent="0.3">
      <c r="C2" s="9"/>
      <c r="D2" s="9"/>
      <c r="E2" s="9"/>
      <c r="F2" s="9"/>
      <c r="G2" s="9"/>
      <c r="H2" s="9"/>
      <c r="I2" s="9"/>
      <c r="J2" s="9"/>
      <c r="K2" s="9"/>
    </row>
    <row r="3" spans="1:11" ht="13.8" thickTop="1" x14ac:dyDescent="0.25">
      <c r="A3" s="37" t="s">
        <v>1</v>
      </c>
      <c r="B3" s="38"/>
      <c r="C3" s="38"/>
      <c r="D3" s="38"/>
      <c r="E3" s="39"/>
      <c r="G3" s="9"/>
      <c r="H3" s="9"/>
      <c r="I3" s="9"/>
      <c r="J3" s="9"/>
      <c r="K3" s="9"/>
    </row>
    <row r="4" spans="1:11" x14ac:dyDescent="0.25">
      <c r="A4" s="34" t="str">
        <f>VLOOKUP(E1,BSPs!$A$1:$K$35,11,FALSE)</f>
        <v>1210 Wien, Siemensstrasse 90 (Einfahrt Heinrich-von-Buol Gasse 5)</v>
      </c>
      <c r="B4" s="35"/>
      <c r="C4" s="35"/>
      <c r="D4" s="35"/>
      <c r="E4" s="36"/>
      <c r="G4" s="9"/>
      <c r="H4" s="9"/>
      <c r="I4" s="9"/>
      <c r="J4" s="9"/>
      <c r="K4" s="9"/>
    </row>
    <row r="5" spans="1:11" ht="13.8" thickBot="1" x14ac:dyDescent="0.3">
      <c r="A5" s="40" t="str">
        <f>VLOOKUP(E1,BSPs!$A$1:$J$35,10,FALSE)</f>
        <v>Herr Andreas Pertl ; VIE SIE ; GEBAEUDE 60 ; 60.EG.112</v>
      </c>
      <c r="B5" s="41"/>
      <c r="C5" s="41"/>
      <c r="D5" s="41"/>
      <c r="E5" s="42"/>
      <c r="G5" s="9"/>
      <c r="H5" s="9"/>
      <c r="I5" s="9"/>
      <c r="J5" s="9"/>
      <c r="K5" s="9"/>
    </row>
    <row r="6" spans="1:11" ht="14.4" thickTop="1" thickBot="1" x14ac:dyDescent="0.3">
      <c r="C6" s="9"/>
      <c r="D6" s="9"/>
      <c r="E6" s="9"/>
      <c r="F6" s="9"/>
      <c r="G6" s="9"/>
      <c r="H6" s="9"/>
      <c r="I6" s="9"/>
      <c r="J6" s="9"/>
      <c r="K6" s="9"/>
    </row>
    <row r="7" spans="1:11" ht="26.4" x14ac:dyDescent="0.25">
      <c r="A7" s="11" t="s">
        <v>2</v>
      </c>
      <c r="B7" s="11" t="s">
        <v>3</v>
      </c>
      <c r="C7" s="10" t="s">
        <v>4</v>
      </c>
      <c r="D7" s="10" t="s">
        <v>5</v>
      </c>
      <c r="E7" s="11" t="s">
        <v>6</v>
      </c>
      <c r="F7" s="10" t="s">
        <v>7</v>
      </c>
      <c r="G7" s="10" t="s">
        <v>8</v>
      </c>
      <c r="H7" s="10" t="s">
        <v>9</v>
      </c>
      <c r="I7" s="10" t="s">
        <v>10</v>
      </c>
      <c r="J7" s="11" t="s">
        <v>11</v>
      </c>
      <c r="K7" s="10" t="s">
        <v>12</v>
      </c>
    </row>
    <row r="8" spans="1:11" x14ac:dyDescent="0.25">
      <c r="A8" s="7">
        <v>1</v>
      </c>
      <c r="B8" s="7" t="s">
        <v>320</v>
      </c>
      <c r="C8" s="7"/>
      <c r="D8" s="49" t="s">
        <v>320</v>
      </c>
      <c r="E8" s="50" t="s">
        <v>296</v>
      </c>
      <c r="F8" s="7" t="s">
        <v>19</v>
      </c>
      <c r="G8" s="13" t="str">
        <f>VLOOKUP(Erfassungsblatt!F8,Produkte!A:B,2,FALSE)</f>
        <v>Notebook</v>
      </c>
      <c r="H8" s="12">
        <f>VLOOKUP(G8,Abfallcode!A:B,2,FALSE)</f>
        <v>35230</v>
      </c>
      <c r="I8" s="16">
        <v>1</v>
      </c>
      <c r="J8" s="16" t="s">
        <v>298</v>
      </c>
      <c r="K8" s="43"/>
    </row>
    <row r="9" spans="1:11" x14ac:dyDescent="0.25">
      <c r="A9" s="7">
        <v>2</v>
      </c>
      <c r="B9" s="7" t="s">
        <v>332</v>
      </c>
      <c r="C9" s="7" t="s">
        <v>333</v>
      </c>
      <c r="D9" s="49" t="s">
        <v>325</v>
      </c>
      <c r="E9" s="50" t="s">
        <v>297</v>
      </c>
      <c r="F9" s="7" t="s">
        <v>19</v>
      </c>
      <c r="G9" s="13" t="str">
        <f>VLOOKUP(Erfassungsblatt!F9,Produkte!A:B,2,FALSE)</f>
        <v>Notebook</v>
      </c>
      <c r="H9" s="12">
        <f>VLOOKUP(G9,Abfallcode!A:B,2,FALSE)</f>
        <v>35230</v>
      </c>
      <c r="I9" s="16">
        <v>1</v>
      </c>
      <c r="J9" s="16" t="s">
        <v>298</v>
      </c>
      <c r="K9" s="44"/>
    </row>
    <row r="10" spans="1:11" x14ac:dyDescent="0.25">
      <c r="A10" s="7">
        <v>3</v>
      </c>
      <c r="B10" s="7" t="s">
        <v>320</v>
      </c>
      <c r="C10" s="7"/>
      <c r="D10" s="49" t="s">
        <v>324</v>
      </c>
      <c r="E10" s="50" t="s">
        <v>299</v>
      </c>
      <c r="F10" s="7" t="s">
        <v>19</v>
      </c>
      <c r="G10" s="13" t="str">
        <f>VLOOKUP(Erfassungsblatt!F10,Produkte!A:B,2,FALSE)</f>
        <v>Notebook</v>
      </c>
      <c r="H10" s="12">
        <f>VLOOKUP(G10,Abfallcode!A:B,2,FALSE)</f>
        <v>35230</v>
      </c>
      <c r="I10" s="16">
        <v>1</v>
      </c>
      <c r="J10" s="16" t="s">
        <v>298</v>
      </c>
      <c r="K10" s="44"/>
    </row>
    <row r="11" spans="1:11" x14ac:dyDescent="0.25">
      <c r="A11" s="7">
        <v>4</v>
      </c>
      <c r="B11" s="7" t="s">
        <v>332</v>
      </c>
      <c r="C11" s="7" t="s">
        <v>333</v>
      </c>
      <c r="D11" s="49" t="s">
        <v>323</v>
      </c>
      <c r="E11" s="50" t="s">
        <v>300</v>
      </c>
      <c r="F11" s="7" t="s">
        <v>19</v>
      </c>
      <c r="G11" s="13" t="str">
        <f>VLOOKUP(Erfassungsblatt!F11,Produkte!A:B,2,FALSE)</f>
        <v>Notebook</v>
      </c>
      <c r="H11" s="12">
        <f>VLOOKUP(G11,Abfallcode!A:B,2,FALSE)</f>
        <v>35230</v>
      </c>
      <c r="I11" s="16">
        <v>1</v>
      </c>
      <c r="J11" s="16" t="s">
        <v>298</v>
      </c>
      <c r="K11" s="44"/>
    </row>
    <row r="12" spans="1:11" x14ac:dyDescent="0.25">
      <c r="A12" s="7">
        <v>5</v>
      </c>
      <c r="B12" s="7" t="s">
        <v>332</v>
      </c>
      <c r="C12" s="7" t="s">
        <v>333</v>
      </c>
      <c r="D12" s="49" t="s">
        <v>321</v>
      </c>
      <c r="E12" s="50" t="s">
        <v>301</v>
      </c>
      <c r="F12" s="7" t="s">
        <v>19</v>
      </c>
      <c r="G12" s="13" t="str">
        <f>VLOOKUP(Erfassungsblatt!F12,Produkte!A:B,2,FALSE)</f>
        <v>Notebook</v>
      </c>
      <c r="H12" s="12">
        <f>VLOOKUP(G12,Abfallcode!A:B,2,FALSE)</f>
        <v>35230</v>
      </c>
      <c r="I12" s="16">
        <v>1</v>
      </c>
      <c r="J12" s="16" t="s">
        <v>302</v>
      </c>
      <c r="K12" s="44"/>
    </row>
    <row r="13" spans="1:11" x14ac:dyDescent="0.25">
      <c r="A13" s="7">
        <v>6</v>
      </c>
      <c r="B13" s="7" t="s">
        <v>332</v>
      </c>
      <c r="C13" s="7" t="s">
        <v>333</v>
      </c>
      <c r="D13" s="49" t="s">
        <v>322</v>
      </c>
      <c r="E13" s="50" t="s">
        <v>303</v>
      </c>
      <c r="F13" s="7" t="s">
        <v>19</v>
      </c>
      <c r="G13" s="13" t="str">
        <f>VLOOKUP(Erfassungsblatt!F13,Produkte!A:B,2,FALSE)</f>
        <v>Notebook</v>
      </c>
      <c r="H13" s="12">
        <f>VLOOKUP(G13,Abfallcode!A:B,2,FALSE)</f>
        <v>35230</v>
      </c>
      <c r="I13" s="16">
        <v>1</v>
      </c>
      <c r="J13" s="16" t="s">
        <v>302</v>
      </c>
      <c r="K13" s="44"/>
    </row>
    <row r="14" spans="1:11" x14ac:dyDescent="0.25">
      <c r="A14" s="7">
        <v>7</v>
      </c>
      <c r="B14" s="7" t="s">
        <v>320</v>
      </c>
      <c r="C14" s="7"/>
      <c r="D14" s="49" t="s">
        <v>320</v>
      </c>
      <c r="E14" s="50" t="s">
        <v>304</v>
      </c>
      <c r="F14" s="7" t="s">
        <v>19</v>
      </c>
      <c r="G14" s="13" t="str">
        <f>VLOOKUP(Erfassungsblatt!F14,Produkte!A:B,2,FALSE)</f>
        <v>Notebook</v>
      </c>
      <c r="H14" s="12">
        <f>VLOOKUP(G14,Abfallcode!A:B,2,FALSE)</f>
        <v>35230</v>
      </c>
      <c r="I14" s="16">
        <v>1</v>
      </c>
      <c r="J14" s="16" t="s">
        <v>305</v>
      </c>
      <c r="K14" s="44"/>
    </row>
    <row r="15" spans="1:11" x14ac:dyDescent="0.25">
      <c r="A15" s="7">
        <v>8</v>
      </c>
      <c r="B15" s="7" t="s">
        <v>332</v>
      </c>
      <c r="C15" s="7" t="s">
        <v>333</v>
      </c>
      <c r="D15" s="49" t="s">
        <v>326</v>
      </c>
      <c r="E15" s="50" t="s">
        <v>306</v>
      </c>
      <c r="F15" s="7" t="s">
        <v>19</v>
      </c>
      <c r="G15" s="13" t="str">
        <f>VLOOKUP(Erfassungsblatt!F15,Produkte!A:B,2,FALSE)</f>
        <v>Notebook</v>
      </c>
      <c r="H15" s="12">
        <f>VLOOKUP(G15,Abfallcode!A:B,2,FALSE)</f>
        <v>35230</v>
      </c>
      <c r="I15" s="16">
        <v>1</v>
      </c>
      <c r="J15" s="16" t="s">
        <v>305</v>
      </c>
      <c r="K15" s="44"/>
    </row>
    <row r="16" spans="1:11" x14ac:dyDescent="0.25">
      <c r="A16" s="7">
        <v>9</v>
      </c>
      <c r="B16" s="7" t="s">
        <v>320</v>
      </c>
      <c r="C16" s="7"/>
      <c r="D16" s="49" t="s">
        <v>320</v>
      </c>
      <c r="E16" s="50" t="s">
        <v>307</v>
      </c>
      <c r="F16" s="7" t="s">
        <v>19</v>
      </c>
      <c r="G16" s="13" t="str">
        <f>VLOOKUP(Erfassungsblatt!F16,Produkte!A:B,2,FALSE)</f>
        <v>Notebook</v>
      </c>
      <c r="H16" s="12">
        <f>VLOOKUP(G16,Abfallcode!A:B,2,FALSE)</f>
        <v>35230</v>
      </c>
      <c r="I16" s="16">
        <v>1</v>
      </c>
      <c r="J16" s="16" t="s">
        <v>305</v>
      </c>
      <c r="K16" s="44"/>
    </row>
    <row r="17" spans="1:11" x14ac:dyDescent="0.25">
      <c r="A17" s="7">
        <v>10</v>
      </c>
      <c r="B17" s="7" t="s">
        <v>320</v>
      </c>
      <c r="C17" s="7"/>
      <c r="D17" s="49" t="s">
        <v>320</v>
      </c>
      <c r="E17" s="50" t="s">
        <v>308</v>
      </c>
      <c r="F17" s="7" t="s">
        <v>19</v>
      </c>
      <c r="G17" s="13" t="str">
        <f>VLOOKUP(Erfassungsblatt!F17,Produkte!A:B,2,FALSE)</f>
        <v>Notebook</v>
      </c>
      <c r="H17" s="12">
        <f>VLOOKUP(G17,Abfallcode!A:B,2,FALSE)</f>
        <v>35230</v>
      </c>
      <c r="I17" s="16">
        <v>1</v>
      </c>
      <c r="J17" s="16" t="s">
        <v>305</v>
      </c>
      <c r="K17" s="44"/>
    </row>
    <row r="18" spans="1:11" x14ac:dyDescent="0.25">
      <c r="A18" s="7">
        <v>11</v>
      </c>
      <c r="B18" s="7" t="s">
        <v>320</v>
      </c>
      <c r="C18" s="7"/>
      <c r="D18" s="49" t="s">
        <v>320</v>
      </c>
      <c r="E18" s="50" t="s">
        <v>309</v>
      </c>
      <c r="F18" s="7" t="s">
        <v>19</v>
      </c>
      <c r="G18" s="13" t="str">
        <f>VLOOKUP(Erfassungsblatt!F18,Produkte!A:B,2,FALSE)</f>
        <v>Notebook</v>
      </c>
      <c r="H18" s="12">
        <f>VLOOKUP(G18,Abfallcode!A:B,2,FALSE)</f>
        <v>35230</v>
      </c>
      <c r="I18" s="16">
        <v>1</v>
      </c>
      <c r="J18" s="16" t="s">
        <v>305</v>
      </c>
      <c r="K18" s="44"/>
    </row>
    <row r="19" spans="1:11" x14ac:dyDescent="0.25">
      <c r="A19" s="7">
        <v>12</v>
      </c>
      <c r="B19" s="7" t="s">
        <v>332</v>
      </c>
      <c r="C19" s="7" t="s">
        <v>333</v>
      </c>
      <c r="D19" s="49" t="s">
        <v>327</v>
      </c>
      <c r="E19" s="50" t="s">
        <v>310</v>
      </c>
      <c r="F19" s="7" t="s">
        <v>19</v>
      </c>
      <c r="G19" s="13" t="str">
        <f>VLOOKUP(Erfassungsblatt!F19,Produkte!A:B,2,FALSE)</f>
        <v>Notebook</v>
      </c>
      <c r="H19" s="12">
        <f>VLOOKUP(G19,Abfallcode!A:B,2,FALSE)</f>
        <v>35230</v>
      </c>
      <c r="I19" s="16">
        <v>1</v>
      </c>
      <c r="J19" s="16" t="s">
        <v>305</v>
      </c>
      <c r="K19" s="44"/>
    </row>
    <row r="20" spans="1:11" x14ac:dyDescent="0.25">
      <c r="A20" s="7">
        <v>13</v>
      </c>
      <c r="B20" s="7" t="s">
        <v>320</v>
      </c>
      <c r="C20" s="7"/>
      <c r="D20" s="49" t="s">
        <v>320</v>
      </c>
      <c r="E20" s="50" t="s">
        <v>311</v>
      </c>
      <c r="F20" s="7" t="s">
        <v>19</v>
      </c>
      <c r="G20" s="13" t="str">
        <f>VLOOKUP(Erfassungsblatt!F20,Produkte!A:B,2,FALSE)</f>
        <v>Notebook</v>
      </c>
      <c r="H20" s="12">
        <f>VLOOKUP(G20,Abfallcode!A:B,2,FALSE)</f>
        <v>35230</v>
      </c>
      <c r="I20" s="16">
        <v>1</v>
      </c>
      <c r="J20" s="16" t="s">
        <v>312</v>
      </c>
      <c r="K20" s="44"/>
    </row>
    <row r="21" spans="1:11" x14ac:dyDescent="0.25">
      <c r="A21" s="7">
        <v>14</v>
      </c>
      <c r="B21" s="7" t="s">
        <v>332</v>
      </c>
      <c r="C21" s="7" t="s">
        <v>333</v>
      </c>
      <c r="D21" s="49" t="s">
        <v>328</v>
      </c>
      <c r="E21" s="50" t="s">
        <v>313</v>
      </c>
      <c r="F21" s="7" t="s">
        <v>19</v>
      </c>
      <c r="G21" s="13" t="str">
        <f>VLOOKUP(Erfassungsblatt!F21,Produkte!A:B,2,FALSE)</f>
        <v>Notebook</v>
      </c>
      <c r="H21" s="12">
        <f>VLOOKUP(G21,Abfallcode!A:B,2,FALSE)</f>
        <v>35230</v>
      </c>
      <c r="I21" s="16">
        <v>1</v>
      </c>
      <c r="J21" s="16" t="s">
        <v>314</v>
      </c>
      <c r="K21" s="44"/>
    </row>
    <row r="22" spans="1:11" x14ac:dyDescent="0.25">
      <c r="A22" s="7">
        <v>15</v>
      </c>
      <c r="B22" s="7" t="s">
        <v>320</v>
      </c>
      <c r="C22" s="7"/>
      <c r="D22" s="49" t="s">
        <v>329</v>
      </c>
      <c r="E22" s="50" t="s">
        <v>315</v>
      </c>
      <c r="F22" s="7" t="s">
        <v>19</v>
      </c>
      <c r="G22" s="13" t="str">
        <f>VLOOKUP(Erfassungsblatt!F22,Produkte!A:B,2,FALSE)</f>
        <v>Notebook</v>
      </c>
      <c r="H22" s="12">
        <f>VLOOKUP(G22,Abfallcode!A:B,2,FALSE)</f>
        <v>35230</v>
      </c>
      <c r="I22" s="16">
        <v>1</v>
      </c>
      <c r="J22" s="16" t="s">
        <v>314</v>
      </c>
      <c r="K22" s="44"/>
    </row>
    <row r="23" spans="1:11" x14ac:dyDescent="0.25">
      <c r="A23" s="7">
        <v>16</v>
      </c>
      <c r="B23" s="7" t="s">
        <v>320</v>
      </c>
      <c r="C23" s="7"/>
      <c r="D23" s="49" t="s">
        <v>320</v>
      </c>
      <c r="E23" s="50" t="s">
        <v>316</v>
      </c>
      <c r="F23" s="7" t="s">
        <v>19</v>
      </c>
      <c r="G23" s="13" t="str">
        <f>VLOOKUP(Erfassungsblatt!F23,Produkte!A:B,2,FALSE)</f>
        <v>Notebook</v>
      </c>
      <c r="H23" s="12">
        <f>VLOOKUP(G23,Abfallcode!A:B,2,FALSE)</f>
        <v>35230</v>
      </c>
      <c r="I23" s="16">
        <v>1</v>
      </c>
      <c r="J23" s="16" t="s">
        <v>314</v>
      </c>
      <c r="K23" s="44"/>
    </row>
    <row r="24" spans="1:11" x14ac:dyDescent="0.25">
      <c r="A24" s="7">
        <v>17</v>
      </c>
      <c r="B24" s="7" t="s">
        <v>332</v>
      </c>
      <c r="C24" s="7" t="s">
        <v>333</v>
      </c>
      <c r="D24" s="49" t="s">
        <v>330</v>
      </c>
      <c r="E24" s="50" t="s">
        <v>317</v>
      </c>
      <c r="F24" s="7" t="s">
        <v>19</v>
      </c>
      <c r="G24" s="13" t="str">
        <f>VLOOKUP(Erfassungsblatt!F24,Produkte!A:B,2,FALSE)</f>
        <v>Notebook</v>
      </c>
      <c r="H24" s="12">
        <f>VLOOKUP(G24,Abfallcode!A:B,2,FALSE)</f>
        <v>35230</v>
      </c>
      <c r="I24" s="16">
        <v>1</v>
      </c>
      <c r="J24" s="16" t="s">
        <v>314</v>
      </c>
      <c r="K24" s="44"/>
    </row>
    <row r="25" spans="1:11" x14ac:dyDescent="0.25">
      <c r="A25" s="7">
        <v>18</v>
      </c>
      <c r="B25" s="7" t="s">
        <v>320</v>
      </c>
      <c r="C25" s="7"/>
      <c r="D25" s="49" t="s">
        <v>331</v>
      </c>
      <c r="E25" s="50" t="s">
        <v>318</v>
      </c>
      <c r="F25" s="7" t="s">
        <v>19</v>
      </c>
      <c r="G25" s="13" t="str">
        <f>VLOOKUP(Erfassungsblatt!F25,Produkte!A:B,2,FALSE)</f>
        <v>Notebook</v>
      </c>
      <c r="H25" s="12">
        <f>VLOOKUP(G25,Abfallcode!A:B,2,FALSE)</f>
        <v>35230</v>
      </c>
      <c r="I25" s="16">
        <v>1</v>
      </c>
      <c r="J25" s="16" t="s">
        <v>319</v>
      </c>
      <c r="K25" s="44"/>
    </row>
    <row r="26" spans="1:11" x14ac:dyDescent="0.25">
      <c r="A26" s="7">
        <v>19</v>
      </c>
      <c r="B26" s="7"/>
      <c r="C26" s="7"/>
      <c r="D26" s="19"/>
      <c r="E26" s="17"/>
      <c r="F26" s="7"/>
      <c r="G26" s="13" t="e">
        <f>VLOOKUP(Erfassungsblatt!F26,Produkte!A:B,2,FALSE)</f>
        <v>#N/A</v>
      </c>
      <c r="H26" s="12" t="e">
        <f>VLOOKUP(G26,Abfallcode!A:B,2,FALSE)</f>
        <v>#N/A</v>
      </c>
      <c r="I26" s="16"/>
      <c r="J26" s="16"/>
      <c r="K26" s="44"/>
    </row>
    <row r="27" spans="1:11" x14ac:dyDescent="0.25">
      <c r="A27" s="7">
        <v>20</v>
      </c>
      <c r="B27" s="7"/>
      <c r="C27" s="7"/>
      <c r="D27" s="19"/>
      <c r="E27" s="17"/>
      <c r="F27" s="7"/>
      <c r="G27" s="13" t="e">
        <f>VLOOKUP(Erfassungsblatt!F27,Produkte!A:B,2,FALSE)</f>
        <v>#N/A</v>
      </c>
      <c r="H27" s="12" t="e">
        <f>VLOOKUP(G27,Abfallcode!A:B,2,FALSE)</f>
        <v>#N/A</v>
      </c>
      <c r="I27" s="16"/>
      <c r="J27" s="16"/>
      <c r="K27" s="44"/>
    </row>
    <row r="28" spans="1:11" x14ac:dyDescent="0.25">
      <c r="A28" s="7">
        <v>21</v>
      </c>
      <c r="B28" s="7"/>
      <c r="C28" s="7"/>
      <c r="D28" s="19"/>
      <c r="E28" s="17"/>
      <c r="F28" s="7"/>
      <c r="G28" s="13" t="e">
        <f>VLOOKUP(Erfassungsblatt!F28,Produkte!A:B,2,FALSE)</f>
        <v>#N/A</v>
      </c>
      <c r="H28" s="12" t="e">
        <f>VLOOKUP(G28,Abfallcode!A:B,2,FALSE)</f>
        <v>#N/A</v>
      </c>
      <c r="I28" s="16"/>
      <c r="J28" s="16"/>
      <c r="K28" s="44"/>
    </row>
    <row r="29" spans="1:11" x14ac:dyDescent="0.25">
      <c r="A29" s="7">
        <v>22</v>
      </c>
      <c r="B29" s="7"/>
      <c r="C29" s="7"/>
      <c r="D29" s="19"/>
      <c r="E29" s="17"/>
      <c r="F29" s="7"/>
      <c r="G29" s="13" t="e">
        <f>VLOOKUP(Erfassungsblatt!F29,Produkte!A:B,2,FALSE)</f>
        <v>#N/A</v>
      </c>
      <c r="H29" s="12" t="e">
        <f>VLOOKUP(G29,Abfallcode!A:B,2,FALSE)</f>
        <v>#N/A</v>
      </c>
      <c r="I29" s="16"/>
      <c r="J29" s="16"/>
      <c r="K29" s="44"/>
    </row>
    <row r="30" spans="1:11" x14ac:dyDescent="0.25">
      <c r="A30" s="7">
        <v>23</v>
      </c>
      <c r="B30" s="7"/>
      <c r="C30" s="7"/>
      <c r="D30" s="19"/>
      <c r="E30" s="17"/>
      <c r="F30" s="7"/>
      <c r="G30" s="13" t="e">
        <f>VLOOKUP(Erfassungsblatt!F30,Produkte!A:B,2,FALSE)</f>
        <v>#N/A</v>
      </c>
      <c r="H30" s="12" t="e">
        <f>VLOOKUP(G30,Abfallcode!A:B,2,FALSE)</f>
        <v>#N/A</v>
      </c>
      <c r="I30" s="16"/>
      <c r="J30" s="16"/>
      <c r="K30" s="44"/>
    </row>
    <row r="31" spans="1:11" x14ac:dyDescent="0.25">
      <c r="A31" s="7">
        <v>24</v>
      </c>
      <c r="B31" s="7"/>
      <c r="C31" s="7"/>
      <c r="D31" s="19"/>
      <c r="E31" s="17"/>
      <c r="F31" s="7"/>
      <c r="G31" s="13" t="e">
        <f>VLOOKUP(Erfassungsblatt!F31,Produkte!A:B,2,FALSE)</f>
        <v>#N/A</v>
      </c>
      <c r="H31" s="12" t="e">
        <f>VLOOKUP(G31,Abfallcode!A:B,2,FALSE)</f>
        <v>#N/A</v>
      </c>
      <c r="I31" s="16"/>
      <c r="J31" s="16"/>
      <c r="K31" s="44"/>
    </row>
    <row r="32" spans="1:11" x14ac:dyDescent="0.25">
      <c r="A32" s="7">
        <v>25</v>
      </c>
      <c r="B32" s="7"/>
      <c r="C32" s="7"/>
      <c r="D32" s="19"/>
      <c r="E32" s="17"/>
      <c r="F32" s="7"/>
      <c r="G32" s="13" t="e">
        <f>VLOOKUP(Erfassungsblatt!F32,Produkte!A:B,2,FALSE)</f>
        <v>#N/A</v>
      </c>
      <c r="H32" s="12" t="e">
        <f>VLOOKUP(G32,Abfallcode!A:B,2,FALSE)</f>
        <v>#N/A</v>
      </c>
      <c r="I32" s="16"/>
      <c r="J32" s="16"/>
      <c r="K32" s="44"/>
    </row>
    <row r="33" spans="1:11" x14ac:dyDescent="0.25">
      <c r="A33" s="7">
        <v>26</v>
      </c>
      <c r="B33" s="7"/>
      <c r="C33" s="7"/>
      <c r="D33" s="19"/>
      <c r="E33" s="17"/>
      <c r="F33" s="7"/>
      <c r="G33" s="13" t="e">
        <f>VLOOKUP(Erfassungsblatt!F33,Produkte!A:B,2,FALSE)</f>
        <v>#N/A</v>
      </c>
      <c r="H33" s="12" t="e">
        <f>VLOOKUP(G33,Abfallcode!A:B,2,FALSE)</f>
        <v>#N/A</v>
      </c>
      <c r="I33" s="16"/>
      <c r="J33" s="16"/>
      <c r="K33" s="44"/>
    </row>
    <row r="34" spans="1:11" x14ac:dyDescent="0.25">
      <c r="A34" s="7">
        <v>27</v>
      </c>
      <c r="B34" s="7"/>
      <c r="C34" s="7"/>
      <c r="D34" s="19"/>
      <c r="E34" s="17"/>
      <c r="F34" s="7"/>
      <c r="G34" s="13" t="e">
        <f>VLOOKUP(Erfassungsblatt!F34,Produkte!A:B,2,FALSE)</f>
        <v>#N/A</v>
      </c>
      <c r="H34" s="12" t="e">
        <f>VLOOKUP(G34,Abfallcode!A:B,2,FALSE)</f>
        <v>#N/A</v>
      </c>
      <c r="I34" s="16"/>
      <c r="J34" s="16"/>
      <c r="K34" s="44"/>
    </row>
    <row r="35" spans="1:11" x14ac:dyDescent="0.25">
      <c r="A35" s="7">
        <v>28</v>
      </c>
      <c r="B35" s="7"/>
      <c r="C35" s="7"/>
      <c r="D35" s="19"/>
      <c r="E35" s="17"/>
      <c r="F35" s="7"/>
      <c r="G35" s="13" t="e">
        <f>VLOOKUP(Erfassungsblatt!F35,Produkte!A:B,2,FALSE)</f>
        <v>#N/A</v>
      </c>
      <c r="H35" s="12" t="e">
        <f>VLOOKUP(G35,Abfallcode!A:B,2,FALSE)</f>
        <v>#N/A</v>
      </c>
      <c r="I35" s="16"/>
      <c r="J35" s="16"/>
      <c r="K35" s="44"/>
    </row>
    <row r="36" spans="1:11" x14ac:dyDescent="0.25">
      <c r="A36" s="7">
        <v>29</v>
      </c>
      <c r="B36" s="7"/>
      <c r="C36" s="7"/>
      <c r="D36" s="19"/>
      <c r="E36" s="17"/>
      <c r="F36" s="7"/>
      <c r="G36" s="13" t="e">
        <f>VLOOKUP(Erfassungsblatt!F36,Produkte!A:B,2,FALSE)</f>
        <v>#N/A</v>
      </c>
      <c r="H36" s="12" t="e">
        <f>VLOOKUP(G36,Abfallcode!A:B,2,FALSE)</f>
        <v>#N/A</v>
      </c>
      <c r="I36" s="16"/>
      <c r="J36" s="16"/>
      <c r="K36" s="44"/>
    </row>
    <row r="37" spans="1:11" x14ac:dyDescent="0.25">
      <c r="A37" s="7">
        <v>30</v>
      </c>
      <c r="B37" s="7"/>
      <c r="C37" s="7"/>
      <c r="D37" s="19"/>
      <c r="E37" s="17"/>
      <c r="F37" s="7"/>
      <c r="G37" s="13" t="e">
        <f>VLOOKUP(Erfassungsblatt!F37,Produkte!A:B,2,FALSE)</f>
        <v>#N/A</v>
      </c>
      <c r="H37" s="12" t="e">
        <f>VLOOKUP(G37,Abfallcode!A:B,2,FALSE)</f>
        <v>#N/A</v>
      </c>
      <c r="I37" s="16"/>
      <c r="J37" s="16"/>
      <c r="K37" s="44"/>
    </row>
    <row r="38" spans="1:11" x14ac:dyDescent="0.25">
      <c r="A38" s="7">
        <v>31</v>
      </c>
      <c r="B38" s="7"/>
      <c r="C38" s="7"/>
      <c r="D38" s="19"/>
      <c r="E38" s="17"/>
      <c r="F38" s="7"/>
      <c r="G38" s="13" t="e">
        <f>VLOOKUP(Erfassungsblatt!F38,Produkte!A:B,2,FALSE)</f>
        <v>#N/A</v>
      </c>
      <c r="H38" s="12" t="e">
        <f>VLOOKUP(G38,Abfallcode!A:B,2,FALSE)</f>
        <v>#N/A</v>
      </c>
      <c r="I38" s="16"/>
      <c r="J38" s="16"/>
      <c r="K38" s="44"/>
    </row>
    <row r="39" spans="1:11" x14ac:dyDescent="0.25">
      <c r="A39" s="7">
        <v>32</v>
      </c>
      <c r="B39" s="7"/>
      <c r="C39" s="7"/>
      <c r="D39" s="19"/>
      <c r="E39" s="17"/>
      <c r="F39" s="7"/>
      <c r="G39" s="13" t="e">
        <f>VLOOKUP(Erfassungsblatt!F39,Produkte!A:B,2,FALSE)</f>
        <v>#N/A</v>
      </c>
      <c r="H39" s="12" t="e">
        <f>VLOOKUP(G39,Abfallcode!A:B,2,FALSE)</f>
        <v>#N/A</v>
      </c>
      <c r="I39" s="16"/>
      <c r="J39" s="16"/>
      <c r="K39" s="44"/>
    </row>
    <row r="40" spans="1:11" x14ac:dyDescent="0.25">
      <c r="A40" s="7">
        <v>33</v>
      </c>
      <c r="B40" s="7"/>
      <c r="C40" s="7"/>
      <c r="D40" s="19"/>
      <c r="E40" s="17"/>
      <c r="F40" s="7"/>
      <c r="G40" s="13" t="e">
        <f>VLOOKUP(Erfassungsblatt!F40,Produkte!A:B,2,FALSE)</f>
        <v>#N/A</v>
      </c>
      <c r="H40" s="12" t="e">
        <f>VLOOKUP(G40,Abfallcode!A:B,2,FALSE)</f>
        <v>#N/A</v>
      </c>
      <c r="I40" s="16"/>
      <c r="J40" s="16"/>
      <c r="K40" s="44"/>
    </row>
    <row r="41" spans="1:11" x14ac:dyDescent="0.25">
      <c r="A41" s="7">
        <v>34</v>
      </c>
      <c r="B41" s="7"/>
      <c r="C41" s="7"/>
      <c r="D41" s="19"/>
      <c r="E41" s="17"/>
      <c r="F41" s="7"/>
      <c r="G41" s="13" t="e">
        <f>VLOOKUP(Erfassungsblatt!F41,Produkte!A:B,2,FALSE)</f>
        <v>#N/A</v>
      </c>
      <c r="H41" s="12" t="e">
        <f>VLOOKUP(G41,Abfallcode!A:B,2,FALSE)</f>
        <v>#N/A</v>
      </c>
      <c r="I41" s="16"/>
      <c r="J41" s="16"/>
      <c r="K41" s="44"/>
    </row>
    <row r="42" spans="1:11" x14ac:dyDescent="0.25">
      <c r="A42" s="7">
        <v>35</v>
      </c>
      <c r="B42" s="7"/>
      <c r="C42" s="7"/>
      <c r="D42" s="19"/>
      <c r="E42" s="17"/>
      <c r="F42" s="7"/>
      <c r="G42" s="13" t="e">
        <f>VLOOKUP(Erfassungsblatt!F42,Produkte!A:B,2,FALSE)</f>
        <v>#N/A</v>
      </c>
      <c r="H42" s="12" t="e">
        <f>VLOOKUP(G42,Abfallcode!A:B,2,FALSE)</f>
        <v>#N/A</v>
      </c>
      <c r="I42" s="16"/>
      <c r="J42" s="16"/>
      <c r="K42" s="44"/>
    </row>
    <row r="43" spans="1:11" x14ac:dyDescent="0.25">
      <c r="A43" s="7">
        <v>36</v>
      </c>
      <c r="B43" s="7"/>
      <c r="C43" s="7"/>
      <c r="D43" s="19"/>
      <c r="E43" s="17"/>
      <c r="F43" s="7"/>
      <c r="G43" s="13" t="e">
        <f>VLOOKUP(Erfassungsblatt!F43,Produkte!A:B,2,FALSE)</f>
        <v>#N/A</v>
      </c>
      <c r="H43" s="12" t="e">
        <f>VLOOKUP(G43,Abfallcode!A:B,2,FALSE)</f>
        <v>#N/A</v>
      </c>
      <c r="I43" s="16"/>
      <c r="J43" s="16"/>
      <c r="K43" s="44"/>
    </row>
    <row r="44" spans="1:11" x14ac:dyDescent="0.25">
      <c r="A44" s="7">
        <v>37</v>
      </c>
      <c r="B44" s="7"/>
      <c r="C44" s="7"/>
      <c r="D44" s="19"/>
      <c r="E44" s="17"/>
      <c r="F44" s="7"/>
      <c r="G44" s="13" t="e">
        <f>VLOOKUP(Erfassungsblatt!F44,Produkte!A:B,2,FALSE)</f>
        <v>#N/A</v>
      </c>
      <c r="H44" s="12" t="e">
        <f>VLOOKUP(G44,Abfallcode!A:B,2,FALSE)</f>
        <v>#N/A</v>
      </c>
      <c r="I44" s="16"/>
      <c r="J44" s="16"/>
      <c r="K44" s="44"/>
    </row>
    <row r="45" spans="1:11" x14ac:dyDescent="0.25">
      <c r="A45" s="7">
        <v>38</v>
      </c>
      <c r="B45" s="7"/>
      <c r="C45" s="7"/>
      <c r="D45" s="19"/>
      <c r="E45" s="17"/>
      <c r="F45" s="7"/>
      <c r="G45" s="13" t="e">
        <f>VLOOKUP(Erfassungsblatt!F45,Produkte!A:B,2,FALSE)</f>
        <v>#N/A</v>
      </c>
      <c r="H45" s="12" t="e">
        <f>VLOOKUP(G45,Abfallcode!A:B,2,FALSE)</f>
        <v>#N/A</v>
      </c>
      <c r="I45" s="16"/>
      <c r="J45" s="16"/>
      <c r="K45" s="44"/>
    </row>
    <row r="46" spans="1:11" x14ac:dyDescent="0.25">
      <c r="A46" s="7">
        <v>39</v>
      </c>
      <c r="B46" s="7"/>
      <c r="C46" s="7"/>
      <c r="D46" s="19"/>
      <c r="E46" s="17"/>
      <c r="F46" s="7"/>
      <c r="G46" s="13" t="e">
        <f>VLOOKUP(Erfassungsblatt!F46,Produkte!A:B,2,FALSE)</f>
        <v>#N/A</v>
      </c>
      <c r="H46" s="12" t="e">
        <f>VLOOKUP(G46,Abfallcode!A:B,2,FALSE)</f>
        <v>#N/A</v>
      </c>
      <c r="I46" s="16"/>
      <c r="J46" s="16"/>
      <c r="K46" s="44"/>
    </row>
    <row r="47" spans="1:11" x14ac:dyDescent="0.25">
      <c r="A47" s="7">
        <v>40</v>
      </c>
      <c r="B47" s="7"/>
      <c r="C47" s="7"/>
      <c r="D47" s="19"/>
      <c r="E47" s="17"/>
      <c r="F47" s="7"/>
      <c r="G47" s="13" t="e">
        <f>VLOOKUP(Erfassungsblatt!F47,Produkte!A:B,2,FALSE)</f>
        <v>#N/A</v>
      </c>
      <c r="H47" s="12" t="e">
        <f>VLOOKUP(G47,Abfallcode!A:B,2,FALSE)</f>
        <v>#N/A</v>
      </c>
      <c r="I47" s="16"/>
      <c r="J47" s="16"/>
      <c r="K47" s="44"/>
    </row>
    <row r="48" spans="1:11" x14ac:dyDescent="0.25">
      <c r="A48" s="7">
        <v>41</v>
      </c>
      <c r="B48" s="7"/>
      <c r="C48" s="7"/>
      <c r="D48" s="19"/>
      <c r="E48" s="17"/>
      <c r="F48" s="7"/>
      <c r="G48" s="13" t="e">
        <f>VLOOKUP(Erfassungsblatt!F48,Produkte!A:B,2,FALSE)</f>
        <v>#N/A</v>
      </c>
      <c r="H48" s="12" t="e">
        <f>VLOOKUP(G48,Abfallcode!A:B,2,FALSE)</f>
        <v>#N/A</v>
      </c>
      <c r="I48" s="16"/>
      <c r="J48" s="16"/>
      <c r="K48" s="44"/>
    </row>
    <row r="49" spans="1:11" x14ac:dyDescent="0.25">
      <c r="A49" s="7">
        <v>42</v>
      </c>
      <c r="B49" s="7"/>
      <c r="C49" s="7"/>
      <c r="D49" s="19"/>
      <c r="E49" s="17"/>
      <c r="F49" s="7"/>
      <c r="G49" s="13" t="e">
        <f>VLOOKUP(Erfassungsblatt!F49,Produkte!A:B,2,FALSE)</f>
        <v>#N/A</v>
      </c>
      <c r="H49" s="12" t="e">
        <f>VLOOKUP(G49,Abfallcode!A:B,2,FALSE)</f>
        <v>#N/A</v>
      </c>
      <c r="I49" s="16"/>
      <c r="J49" s="16"/>
      <c r="K49" s="44"/>
    </row>
    <row r="50" spans="1:11" x14ac:dyDescent="0.25">
      <c r="A50" s="7">
        <v>43</v>
      </c>
      <c r="B50" s="7"/>
      <c r="C50" s="7"/>
      <c r="D50" s="19"/>
      <c r="E50" s="17"/>
      <c r="F50" s="7"/>
      <c r="G50" s="13" t="e">
        <f>VLOOKUP(Erfassungsblatt!F50,Produkte!A:B,2,FALSE)</f>
        <v>#N/A</v>
      </c>
      <c r="H50" s="12" t="e">
        <f>VLOOKUP(G50,Abfallcode!A:B,2,FALSE)</f>
        <v>#N/A</v>
      </c>
      <c r="I50" s="16"/>
      <c r="J50" s="16"/>
      <c r="K50" s="44"/>
    </row>
    <row r="51" spans="1:11" x14ac:dyDescent="0.25">
      <c r="A51" s="7">
        <v>44</v>
      </c>
      <c r="B51" s="7"/>
      <c r="C51" s="7"/>
      <c r="D51" s="19"/>
      <c r="E51" s="17"/>
      <c r="F51" s="7"/>
      <c r="G51" s="13" t="e">
        <f>VLOOKUP(Erfassungsblatt!F51,Produkte!A:B,2,FALSE)</f>
        <v>#N/A</v>
      </c>
      <c r="H51" s="12" t="e">
        <f>VLOOKUP(G51,Abfallcode!A:B,2,FALSE)</f>
        <v>#N/A</v>
      </c>
      <c r="I51" s="16"/>
      <c r="J51" s="16"/>
      <c r="K51" s="44"/>
    </row>
    <row r="52" spans="1:11" x14ac:dyDescent="0.25">
      <c r="A52" s="7">
        <v>45</v>
      </c>
      <c r="B52" s="7"/>
      <c r="C52" s="7"/>
      <c r="D52" s="19"/>
      <c r="E52" s="17"/>
      <c r="F52" s="7"/>
      <c r="G52" s="13" t="e">
        <f>VLOOKUP(Erfassungsblatt!F52,Produkte!A:B,2,FALSE)</f>
        <v>#N/A</v>
      </c>
      <c r="H52" s="12" t="e">
        <f>VLOOKUP(G52,Abfallcode!A:B,2,FALSE)</f>
        <v>#N/A</v>
      </c>
      <c r="I52" s="16"/>
      <c r="J52" s="16"/>
      <c r="K52" s="44"/>
    </row>
    <row r="53" spans="1:11" x14ac:dyDescent="0.25">
      <c r="A53" s="7">
        <v>46</v>
      </c>
      <c r="B53" s="7"/>
      <c r="C53" s="7"/>
      <c r="D53" s="19"/>
      <c r="E53" s="17"/>
      <c r="F53" s="7"/>
      <c r="G53" s="13" t="e">
        <f>VLOOKUP(Erfassungsblatt!F53,Produkte!A:B,2,FALSE)</f>
        <v>#N/A</v>
      </c>
      <c r="H53" s="12" t="e">
        <f>VLOOKUP(G53,Abfallcode!A:B,2,FALSE)</f>
        <v>#N/A</v>
      </c>
      <c r="I53" s="16"/>
      <c r="J53" s="16"/>
      <c r="K53" s="44"/>
    </row>
    <row r="54" spans="1:11" x14ac:dyDescent="0.25">
      <c r="A54" s="7">
        <v>47</v>
      </c>
      <c r="B54" s="7"/>
      <c r="C54" s="7"/>
      <c r="D54" s="19"/>
      <c r="E54" s="17"/>
      <c r="F54" s="7"/>
      <c r="G54" s="13" t="e">
        <f>VLOOKUP(Erfassungsblatt!F54,Produkte!A:B,2,FALSE)</f>
        <v>#N/A</v>
      </c>
      <c r="H54" s="12" t="e">
        <f>VLOOKUP(G54,Abfallcode!A:B,2,FALSE)</f>
        <v>#N/A</v>
      </c>
      <c r="I54" s="16"/>
      <c r="J54" s="16"/>
      <c r="K54" s="44"/>
    </row>
    <row r="55" spans="1:11" x14ac:dyDescent="0.25">
      <c r="A55" s="7">
        <v>48</v>
      </c>
      <c r="B55" s="7"/>
      <c r="C55" s="7"/>
      <c r="D55" s="19"/>
      <c r="E55" s="17"/>
      <c r="F55" s="7"/>
      <c r="G55" s="13" t="e">
        <f>VLOOKUP(Erfassungsblatt!F55,Produkte!A:B,2,FALSE)</f>
        <v>#N/A</v>
      </c>
      <c r="H55" s="12" t="e">
        <f>VLOOKUP(G55,Abfallcode!A:B,2,FALSE)</f>
        <v>#N/A</v>
      </c>
      <c r="I55" s="16"/>
      <c r="J55" s="16"/>
      <c r="K55" s="44"/>
    </row>
    <row r="56" spans="1:11" x14ac:dyDescent="0.25">
      <c r="A56" s="7">
        <v>49</v>
      </c>
      <c r="B56" s="7"/>
      <c r="C56" s="7"/>
      <c r="D56" s="19"/>
      <c r="E56" s="17"/>
      <c r="F56" s="7"/>
      <c r="G56" s="13" t="e">
        <f>VLOOKUP(Erfassungsblatt!F56,Produkte!A:B,2,FALSE)</f>
        <v>#N/A</v>
      </c>
      <c r="H56" s="12" t="e">
        <f>VLOOKUP(G56,Abfallcode!A:B,2,FALSE)</f>
        <v>#N/A</v>
      </c>
      <c r="I56" s="16"/>
      <c r="J56" s="16"/>
      <c r="K56" s="44"/>
    </row>
    <row r="57" spans="1:11" x14ac:dyDescent="0.25">
      <c r="A57" s="7">
        <v>50</v>
      </c>
      <c r="B57" s="7"/>
      <c r="C57" s="7"/>
      <c r="D57" s="19"/>
      <c r="E57" s="17"/>
      <c r="F57" s="7"/>
      <c r="G57" s="13" t="e">
        <f>VLOOKUP(Erfassungsblatt!F57,Produkte!A:B,2,FALSE)</f>
        <v>#N/A</v>
      </c>
      <c r="H57" s="12" t="e">
        <f>VLOOKUP(G57,Abfallcode!A:B,2,FALSE)</f>
        <v>#N/A</v>
      </c>
      <c r="I57" s="16"/>
      <c r="J57" s="16"/>
      <c r="K57" s="45"/>
    </row>
    <row r="66" spans="1:2" x14ac:dyDescent="0.25">
      <c r="A66" s="4" t="s">
        <v>13</v>
      </c>
      <c r="B66" s="4"/>
    </row>
    <row r="67" spans="1:2" x14ac:dyDescent="0.25">
      <c r="A67" s="5" t="s">
        <v>14</v>
      </c>
      <c r="B67" s="5"/>
    </row>
    <row r="68" spans="1:2" x14ac:dyDescent="0.25">
      <c r="A68" s="4" t="s">
        <v>290</v>
      </c>
      <c r="B68" s="4"/>
    </row>
    <row r="69" spans="1:2" x14ac:dyDescent="0.25">
      <c r="A69" s="6" t="s">
        <v>291</v>
      </c>
      <c r="B69" s="6"/>
    </row>
  </sheetData>
  <sheetProtection autoFilter="0"/>
  <mergeCells count="5">
    <mergeCell ref="A1:D1"/>
    <mergeCell ref="A4:E4"/>
    <mergeCell ref="A3:E3"/>
    <mergeCell ref="A5:E5"/>
    <mergeCell ref="K8:K57"/>
  </mergeCells>
  <conditionalFormatting sqref="H8:H57">
    <cfRule type="containsErrors" dxfId="60" priority="47" stopIfTrue="1">
      <formula>ISERROR(H8)</formula>
    </cfRule>
  </conditionalFormatting>
  <conditionalFormatting sqref="A4:B5">
    <cfRule type="containsErrors" dxfId="59" priority="40" stopIfTrue="1">
      <formula>ISERROR(A4)</formula>
    </cfRule>
  </conditionalFormatting>
  <conditionalFormatting sqref="J8:J57">
    <cfRule type="containsErrors" dxfId="58" priority="39" stopIfTrue="1">
      <formula>ISERROR(J8)</formula>
    </cfRule>
  </conditionalFormatting>
  <conditionalFormatting sqref="G8:G57">
    <cfRule type="containsErrors" dxfId="57" priority="38" stopIfTrue="1">
      <formula>ISERROR(G8)</formula>
    </cfRule>
  </conditionalFormatting>
  <conditionalFormatting sqref="G9:G57">
    <cfRule type="containsErrors" dxfId="56" priority="37" stopIfTrue="1">
      <formula>ISERROR(G9)</formula>
    </cfRule>
  </conditionalFormatting>
  <conditionalFormatting sqref="H9:H57">
    <cfRule type="containsErrors" dxfId="55" priority="36" stopIfTrue="1">
      <formula>ISERROR(H9)</formula>
    </cfRule>
  </conditionalFormatting>
  <conditionalFormatting sqref="H28">
    <cfRule type="containsErrors" dxfId="54" priority="34" stopIfTrue="1">
      <formula>ISERROR(H28)</formula>
    </cfRule>
  </conditionalFormatting>
  <conditionalFormatting sqref="G28">
    <cfRule type="containsErrors" dxfId="53" priority="33" stopIfTrue="1">
      <formula>ISERROR(G28)</formula>
    </cfRule>
  </conditionalFormatting>
  <conditionalFormatting sqref="G29:G31">
    <cfRule type="containsErrors" dxfId="52" priority="32" stopIfTrue="1">
      <formula>ISERROR(G29)</formula>
    </cfRule>
  </conditionalFormatting>
  <conditionalFormatting sqref="H29:H31">
    <cfRule type="containsErrors" dxfId="51" priority="31" stopIfTrue="1">
      <formula>ISERROR(H29)</formula>
    </cfRule>
  </conditionalFormatting>
  <conditionalFormatting sqref="H8:H57">
    <cfRule type="containsErrors" dxfId="50" priority="29" stopIfTrue="1">
      <formula>ISERROR(H8)</formula>
    </cfRule>
  </conditionalFormatting>
  <conditionalFormatting sqref="G8:G57">
    <cfRule type="containsErrors" dxfId="49" priority="28" stopIfTrue="1">
      <formula>ISERROR(G8)</formula>
    </cfRule>
  </conditionalFormatting>
  <conditionalFormatting sqref="J8:J57">
    <cfRule type="containsErrors" dxfId="48" priority="27" stopIfTrue="1">
      <formula>ISERROR(J8)</formula>
    </cfRule>
  </conditionalFormatting>
  <conditionalFormatting sqref="J8:J57">
    <cfRule type="containsErrors" dxfId="47" priority="26" stopIfTrue="1">
      <formula>ISERROR(J8)</formula>
    </cfRule>
  </conditionalFormatting>
  <conditionalFormatting sqref="J28:J31">
    <cfRule type="containsErrors" dxfId="46" priority="25" stopIfTrue="1">
      <formula>ISERROR(J28)</formula>
    </cfRule>
  </conditionalFormatting>
  <conditionalFormatting sqref="J29:J31">
    <cfRule type="containsErrors" dxfId="45" priority="24" stopIfTrue="1">
      <formula>ISERROR(J29)</formula>
    </cfRule>
  </conditionalFormatting>
  <conditionalFormatting sqref="J8:J57">
    <cfRule type="containsErrors" dxfId="44" priority="23" stopIfTrue="1">
      <formula>ISERROR(J8)</formula>
    </cfRule>
  </conditionalFormatting>
  <conditionalFormatting sqref="I8:I57">
    <cfRule type="containsErrors" dxfId="43" priority="22" stopIfTrue="1">
      <formula>ISERROR(I8)</formula>
    </cfRule>
  </conditionalFormatting>
  <conditionalFormatting sqref="I8:I57">
    <cfRule type="containsErrors" dxfId="42" priority="20" stopIfTrue="1">
      <formula>ISERROR(I8)</formula>
    </cfRule>
  </conditionalFormatting>
  <conditionalFormatting sqref="I8:I57">
    <cfRule type="containsErrors" dxfId="41" priority="16" stopIfTrue="1">
      <formula>ISERROR(I8)</formula>
    </cfRule>
  </conditionalFormatting>
  <dataValidations count="3">
    <dataValidation allowBlank="1" showInputMessage="1" showErrorMessage="1" errorTitle="Warnung" error="Nicht Erlaubter Eintrag" sqref="G8:G57" xr:uid="{00000000-0002-0000-0000-000000000000}"/>
    <dataValidation type="list" allowBlank="1" showInputMessage="1" showErrorMessage="1" sqref="F8:F57" xr:uid="{00000000-0002-0000-0000-000001000000}">
      <formula1>Produkt</formula1>
    </dataValidation>
    <dataValidation type="list" allowBlank="1" showInputMessage="1" showErrorMessage="1" sqref="E1" xr:uid="{00000000-0002-0000-0000-000002000000}">
      <formula1>BSPnn</formula1>
    </dataValidation>
  </dataValidations>
  <pageMargins left="0.70866141732283472" right="0.70866141732283472" top="0.78740157480314965" bottom="0.78740157480314965" header="0.31496062992125984" footer="0.31496062992125984"/>
  <pageSetup paperSize="9" scale="54" orientation="landscape" r:id="rId1"/>
  <headerFooter>
    <oddHeader>&amp;L&amp;24Übergabeprotokoll ausgeschiedene Hardware&amp;R&amp;G</oddHeader>
  </headerFooter>
  <customProperties>
    <customPr name="EpmWorksheetKeyString_GUID" r:id="rId2"/>
  </customProperties>
  <drawing r:id="rId3"/>
  <legacyDrawingHF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4000000}">
          <x14:formula1>
            <xm:f>Produkte!$A$2:$A$29</xm:f>
          </x14:formula1>
          <xm:sqref>F12:F57</xm:sqref>
        </x14:dataValidation>
        <x14:dataValidation type="list" allowBlank="1" showInputMessage="1" xr:uid="{00000000-0002-0000-0000-000003000000}">
          <x14:formula1>
            <xm:f>BSPs!$A$2:$A$35</xm:f>
          </x14:formula1>
          <xm:sqref>E1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B16"/>
  <sheetViews>
    <sheetView workbookViewId="0">
      <selection activeCell="D20" sqref="D20"/>
    </sheetView>
  </sheetViews>
  <sheetFormatPr baseColWidth="10" defaultColWidth="11.44140625" defaultRowHeight="13.2" x14ac:dyDescent="0.25"/>
  <cols>
    <col min="1" max="1" width="50.5546875" bestFit="1" customWidth="1"/>
  </cols>
  <sheetData>
    <row r="1" spans="1:2" x14ac:dyDescent="0.25">
      <c r="A1" t="s">
        <v>8</v>
      </c>
      <c r="B1" t="s">
        <v>9</v>
      </c>
    </row>
    <row r="2" spans="1:2" x14ac:dyDescent="0.25">
      <c r="A2" t="s">
        <v>15</v>
      </c>
      <c r="B2">
        <v>35212</v>
      </c>
    </row>
    <row r="3" spans="1:2" x14ac:dyDescent="0.25">
      <c r="A3" t="s">
        <v>16</v>
      </c>
      <c r="B3">
        <v>35221</v>
      </c>
    </row>
    <row r="4" spans="1:2" x14ac:dyDescent="0.25">
      <c r="A4" t="s">
        <v>17</v>
      </c>
      <c r="B4">
        <v>35230</v>
      </c>
    </row>
    <row r="5" spans="1:2" x14ac:dyDescent="0.25">
      <c r="A5" t="s">
        <v>18</v>
      </c>
      <c r="B5">
        <v>35230</v>
      </c>
    </row>
    <row r="6" spans="1:2" x14ac:dyDescent="0.25">
      <c r="A6" t="s">
        <v>19</v>
      </c>
      <c r="B6">
        <v>35230</v>
      </c>
    </row>
    <row r="7" spans="1:2" x14ac:dyDescent="0.25">
      <c r="A7" t="s">
        <v>20</v>
      </c>
      <c r="B7">
        <v>35230</v>
      </c>
    </row>
    <row r="8" spans="1:2" x14ac:dyDescent="0.25">
      <c r="A8" t="s">
        <v>21</v>
      </c>
      <c r="B8">
        <v>35231</v>
      </c>
    </row>
    <row r="9" spans="1:2" x14ac:dyDescent="0.25">
      <c r="A9" t="s">
        <v>22</v>
      </c>
      <c r="B9">
        <v>35231</v>
      </c>
    </row>
    <row r="10" spans="1:2" x14ac:dyDescent="0.25">
      <c r="A10" t="s">
        <v>23</v>
      </c>
      <c r="B10">
        <v>35231</v>
      </c>
    </row>
    <row r="11" spans="1:2" x14ac:dyDescent="0.25">
      <c r="A11" t="s">
        <v>24</v>
      </c>
      <c r="B11">
        <v>35231</v>
      </c>
    </row>
    <row r="12" spans="1:2" x14ac:dyDescent="0.25">
      <c r="A12" t="s">
        <v>25</v>
      </c>
      <c r="B12">
        <v>35231</v>
      </c>
    </row>
    <row r="13" spans="1:2" x14ac:dyDescent="0.25">
      <c r="A13" t="s">
        <v>26</v>
      </c>
      <c r="B13">
        <v>35231</v>
      </c>
    </row>
    <row r="14" spans="1:2" x14ac:dyDescent="0.25">
      <c r="A14" t="s">
        <v>27</v>
      </c>
      <c r="B14">
        <v>35231</v>
      </c>
    </row>
    <row r="15" spans="1:2" x14ac:dyDescent="0.25">
      <c r="A15" t="s">
        <v>28</v>
      </c>
      <c r="B15">
        <v>35231</v>
      </c>
    </row>
    <row r="16" spans="1:2" x14ac:dyDescent="0.25">
      <c r="A16" t="s">
        <v>29</v>
      </c>
      <c r="B16">
        <v>35231</v>
      </c>
    </row>
  </sheetData>
  <sortState xmlns:xlrd2="http://schemas.microsoft.com/office/spreadsheetml/2017/richdata2" ref="A2:B16">
    <sortCondition ref="B2:B16"/>
  </sortState>
  <pageMargins left="0.7" right="0.7" top="0.78740157499999996" bottom="0.78740157499999996" header="0.3" footer="0.3"/>
  <pageSetup paperSize="9" orientation="portrait" r:id="rId1"/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L50"/>
  <sheetViews>
    <sheetView workbookViewId="0">
      <selection activeCell="H18" sqref="H18"/>
    </sheetView>
  </sheetViews>
  <sheetFormatPr baseColWidth="10" defaultColWidth="11.44140625" defaultRowHeight="13.2" x14ac:dyDescent="0.25"/>
  <cols>
    <col min="1" max="1" width="13" bestFit="1" customWidth="1"/>
    <col min="2" max="2" width="15" bestFit="1" customWidth="1"/>
    <col min="3" max="3" width="15" customWidth="1"/>
    <col min="4" max="4" width="12" bestFit="1" customWidth="1"/>
    <col min="5" max="5" width="14" customWidth="1"/>
    <col min="6" max="6" width="9.88671875" customWidth="1"/>
    <col min="7" max="7" width="10.88671875" customWidth="1"/>
    <col min="8" max="8" width="20.109375" customWidth="1"/>
    <col min="9" max="9" width="38.109375" customWidth="1"/>
    <col min="10" max="10" width="55" customWidth="1"/>
    <col min="11" max="11" width="58.109375" bestFit="1" customWidth="1"/>
    <col min="12" max="12" width="21.5546875" bestFit="1" customWidth="1"/>
  </cols>
  <sheetData>
    <row r="1" spans="1:12" x14ac:dyDescent="0.25">
      <c r="A1" t="s">
        <v>30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</row>
    <row r="2" spans="1:12" x14ac:dyDescent="0.25">
      <c r="A2" s="30" t="s">
        <v>42</v>
      </c>
      <c r="B2" t="s">
        <v>43</v>
      </c>
      <c r="C2" t="s">
        <v>44</v>
      </c>
      <c r="D2" t="s">
        <v>45</v>
      </c>
      <c r="E2" t="s">
        <v>46</v>
      </c>
      <c r="G2" t="s">
        <v>47</v>
      </c>
      <c r="H2" t="s">
        <v>48</v>
      </c>
      <c r="I2" t="s">
        <v>49</v>
      </c>
      <c r="J2" t="str">
        <f t="shared" ref="J2:J28" si="0">CONCATENATE(C2," ",B2," ",A2," ; ",D2," ; ",E2," ; ",F2)</f>
        <v xml:space="preserve">Herr Peter Boska ; VIE LEB ; B100 ; </v>
      </c>
      <c r="K2" t="s">
        <v>50</v>
      </c>
      <c r="L2" t="str">
        <f t="shared" ref="L2:L3" si="1">B2&amp;" "&amp;A2</f>
        <v>Peter Boska</v>
      </c>
    </row>
    <row r="3" spans="1:12" x14ac:dyDescent="0.25">
      <c r="A3" s="30" t="s">
        <v>51</v>
      </c>
      <c r="B3" t="s">
        <v>52</v>
      </c>
      <c r="C3" t="s">
        <v>44</v>
      </c>
      <c r="D3" t="s">
        <v>53</v>
      </c>
      <c r="E3" t="s">
        <v>54</v>
      </c>
      <c r="F3">
        <v>173</v>
      </c>
      <c r="G3" t="s">
        <v>55</v>
      </c>
      <c r="H3" t="s">
        <v>56</v>
      </c>
      <c r="I3" t="s">
        <v>57</v>
      </c>
      <c r="J3" t="str">
        <f t="shared" si="0"/>
        <v>Herr Michael Franz ; VIE SIE ; BAU22 ; 173</v>
      </c>
      <c r="K3" t="s">
        <v>58</v>
      </c>
      <c r="L3" t="str">
        <f t="shared" si="1"/>
        <v>Michael Franz</v>
      </c>
    </row>
    <row r="4" spans="1:12" x14ac:dyDescent="0.25">
      <c r="A4" s="30" t="s">
        <v>59</v>
      </c>
      <c r="B4" t="s">
        <v>60</v>
      </c>
      <c r="C4" t="s">
        <v>44</v>
      </c>
      <c r="D4" t="s">
        <v>53</v>
      </c>
      <c r="E4" t="s">
        <v>61</v>
      </c>
      <c r="F4" t="s">
        <v>62</v>
      </c>
      <c r="G4" t="s">
        <v>63</v>
      </c>
      <c r="H4" s="28" t="s">
        <v>64</v>
      </c>
      <c r="I4" t="s">
        <v>65</v>
      </c>
      <c r="J4" t="str">
        <f t="shared" si="0"/>
        <v>Herr Dennis Galowsky ; VIE SIE ; GEBAEUDE 60 ; 60.10.094</v>
      </c>
      <c r="K4" t="s">
        <v>58</v>
      </c>
    </row>
    <row r="5" spans="1:12" x14ac:dyDescent="0.25">
      <c r="A5" s="30" t="s">
        <v>66</v>
      </c>
      <c r="B5" t="s">
        <v>67</v>
      </c>
      <c r="C5" t="s">
        <v>44</v>
      </c>
      <c r="D5" t="s">
        <v>68</v>
      </c>
      <c r="E5" t="s">
        <v>69</v>
      </c>
      <c r="F5" t="s">
        <v>70</v>
      </c>
      <c r="G5" t="s">
        <v>71</v>
      </c>
      <c r="H5" s="28" t="s">
        <v>72</v>
      </c>
      <c r="I5" t="s">
        <v>73</v>
      </c>
      <c r="J5" t="str">
        <f t="shared" si="0"/>
        <v>Herr Mario Holzbauer ; GRZ EGGEN ; B040 ; 40.233</v>
      </c>
      <c r="K5" t="s">
        <v>74</v>
      </c>
    </row>
    <row r="6" spans="1:12" x14ac:dyDescent="0.25">
      <c r="A6" s="30" t="s">
        <v>75</v>
      </c>
      <c r="B6" t="s">
        <v>76</v>
      </c>
      <c r="C6" t="s">
        <v>44</v>
      </c>
      <c r="D6" t="s">
        <v>53</v>
      </c>
      <c r="E6" t="s">
        <v>77</v>
      </c>
      <c r="F6">
        <v>3089</v>
      </c>
      <c r="G6" t="s">
        <v>78</v>
      </c>
      <c r="H6" t="s">
        <v>79</v>
      </c>
      <c r="I6" t="s">
        <v>80</v>
      </c>
      <c r="J6" t="str">
        <f t="shared" si="0"/>
        <v>Herr Gerhard Jungmann ; VIE SIE ; Bau 34 ; 3089</v>
      </c>
      <c r="K6" t="s">
        <v>58</v>
      </c>
      <c r="L6" t="str">
        <f t="shared" ref="L6:L11" si="2">B6&amp;" "&amp;A6</f>
        <v>Gerhard Jungmann</v>
      </c>
    </row>
    <row r="7" spans="1:12" x14ac:dyDescent="0.25">
      <c r="A7" s="30" t="s">
        <v>81</v>
      </c>
      <c r="B7" t="s">
        <v>82</v>
      </c>
      <c r="C7" t="s">
        <v>44</v>
      </c>
      <c r="D7" t="s">
        <v>83</v>
      </c>
      <c r="F7" t="s">
        <v>84</v>
      </c>
      <c r="G7" t="s">
        <v>85</v>
      </c>
      <c r="H7" t="s">
        <v>86</v>
      </c>
      <c r="I7" t="s">
        <v>87</v>
      </c>
      <c r="J7" t="str">
        <f t="shared" si="0"/>
        <v>Herr Karlheinz Kerschbaumer ; KLU NLK ;  ; E06</v>
      </c>
      <c r="K7" t="s">
        <v>88</v>
      </c>
      <c r="L7" t="str">
        <f t="shared" si="2"/>
        <v>Karlheinz Kerschbaumer</v>
      </c>
    </row>
    <row r="8" spans="1:12" x14ac:dyDescent="0.25">
      <c r="A8" s="30" t="s">
        <v>285</v>
      </c>
      <c r="B8" t="s">
        <v>43</v>
      </c>
      <c r="C8" t="s">
        <v>44</v>
      </c>
      <c r="D8" t="s">
        <v>53</v>
      </c>
      <c r="E8" t="s">
        <v>61</v>
      </c>
      <c r="F8" t="s">
        <v>286</v>
      </c>
      <c r="G8" t="s">
        <v>287</v>
      </c>
      <c r="H8" s="28" t="s">
        <v>288</v>
      </c>
      <c r="I8" t="s">
        <v>289</v>
      </c>
      <c r="J8" t="str">
        <f>CONCATENATE(C8," ",B8," ",A8," ; ",D8," ; ",E8," ; ",F8)</f>
        <v>Herr Peter Kaske ; VIE SIE ; GEBAEUDE 60 ; 60.07.082</v>
      </c>
      <c r="K8" t="s">
        <v>58</v>
      </c>
      <c r="L8" t="str">
        <f>B8&amp;" "&amp;A8</f>
        <v>Peter Kaske</v>
      </c>
    </row>
    <row r="9" spans="1:12" x14ac:dyDescent="0.25">
      <c r="A9" s="30" t="s">
        <v>89</v>
      </c>
      <c r="B9" t="s">
        <v>90</v>
      </c>
      <c r="C9" t="s">
        <v>44</v>
      </c>
      <c r="D9" t="s">
        <v>53</v>
      </c>
      <c r="E9" t="s">
        <v>61</v>
      </c>
      <c r="F9" t="s">
        <v>91</v>
      </c>
      <c r="G9" t="s">
        <v>92</v>
      </c>
      <c r="H9" t="s">
        <v>93</v>
      </c>
      <c r="I9" t="s">
        <v>94</v>
      </c>
      <c r="J9" t="str">
        <f t="shared" si="0"/>
        <v>Herr Martin Kobsik ; VIE SIE ; GEBAEUDE 60 ; 60.11.016</v>
      </c>
      <c r="K9" t="s">
        <v>58</v>
      </c>
      <c r="L9" t="str">
        <f t="shared" si="2"/>
        <v>Martin Kobsik</v>
      </c>
    </row>
    <row r="10" spans="1:12" x14ac:dyDescent="0.25">
      <c r="A10" s="30" t="s">
        <v>95</v>
      </c>
      <c r="B10" t="s">
        <v>96</v>
      </c>
      <c r="C10" t="s">
        <v>44</v>
      </c>
      <c r="D10" t="s">
        <v>68</v>
      </c>
      <c r="E10" t="s">
        <v>97</v>
      </c>
      <c r="F10" t="s">
        <v>98</v>
      </c>
      <c r="G10" t="s">
        <v>99</v>
      </c>
      <c r="H10" t="s">
        <v>100</v>
      </c>
      <c r="I10" t="s">
        <v>101</v>
      </c>
      <c r="J10" t="str">
        <f t="shared" si="0"/>
        <v>Herr Werner Krenn ; GRZ EGGEN ; B163 ; EG</v>
      </c>
      <c r="K10" t="s">
        <v>74</v>
      </c>
      <c r="L10" t="str">
        <f t="shared" si="2"/>
        <v>Werner Krenn</v>
      </c>
    </row>
    <row r="11" spans="1:12" x14ac:dyDescent="0.25">
      <c r="A11" s="30" t="s">
        <v>102</v>
      </c>
      <c r="B11" t="s">
        <v>103</v>
      </c>
      <c r="C11" t="s">
        <v>44</v>
      </c>
      <c r="D11" t="s">
        <v>53</v>
      </c>
      <c r="E11" t="s">
        <v>61</v>
      </c>
      <c r="F11" t="s">
        <v>104</v>
      </c>
      <c r="G11" t="s">
        <v>105</v>
      </c>
      <c r="H11" t="s">
        <v>106</v>
      </c>
      <c r="I11" t="s">
        <v>107</v>
      </c>
      <c r="J11" t="str">
        <f t="shared" si="0"/>
        <v>Herr Simon Kriha ; VIE SIE ; GEBAEUDE 60 ; 60.08.080</v>
      </c>
      <c r="K11" t="s">
        <v>58</v>
      </c>
      <c r="L11" t="str">
        <f t="shared" si="2"/>
        <v>Simon Kriha</v>
      </c>
    </row>
    <row r="12" spans="1:12" x14ac:dyDescent="0.25">
      <c r="A12" s="30" t="s">
        <v>108</v>
      </c>
      <c r="B12" t="s">
        <v>109</v>
      </c>
      <c r="C12" t="s">
        <v>44</v>
      </c>
      <c r="D12" t="s">
        <v>110</v>
      </c>
      <c r="E12" t="s">
        <v>111</v>
      </c>
      <c r="F12">
        <v>1048</v>
      </c>
      <c r="G12" t="s">
        <v>112</v>
      </c>
      <c r="H12" s="28" t="s">
        <v>113</v>
      </c>
      <c r="I12" t="s">
        <v>114</v>
      </c>
      <c r="J12" t="str">
        <f t="shared" si="0"/>
        <v>Herr Klaus-Juergen Kutzler ; LNZ NLL ; BAU01 ; 1048</v>
      </c>
      <c r="K12" t="s">
        <v>115</v>
      </c>
    </row>
    <row r="13" spans="1:12" x14ac:dyDescent="0.25">
      <c r="A13" s="30" t="s">
        <v>116</v>
      </c>
      <c r="B13" t="s">
        <v>117</v>
      </c>
      <c r="C13" t="s">
        <v>44</v>
      </c>
      <c r="D13" t="s">
        <v>118</v>
      </c>
      <c r="E13" t="s">
        <v>111</v>
      </c>
      <c r="G13" t="s">
        <v>119</v>
      </c>
      <c r="H13" s="28" t="s">
        <v>120</v>
      </c>
      <c r="I13" s="29" t="s">
        <v>121</v>
      </c>
      <c r="J13" t="str">
        <f t="shared" si="0"/>
        <v xml:space="preserve">Herr Roman Lettenbichler ; 	INN NLI ; BAU01 ; </v>
      </c>
      <c r="K13" t="s">
        <v>122</v>
      </c>
      <c r="L13" t="str">
        <f t="shared" ref="L13" si="3">B13&amp;" "&amp;A13</f>
        <v>Roman Lettenbichler</v>
      </c>
    </row>
    <row r="14" spans="1:12" x14ac:dyDescent="0.25">
      <c r="A14" s="30" t="s">
        <v>123</v>
      </c>
      <c r="B14" t="s">
        <v>124</v>
      </c>
      <c r="C14" t="s">
        <v>44</v>
      </c>
      <c r="D14" t="s">
        <v>125</v>
      </c>
      <c r="E14" t="s">
        <v>126</v>
      </c>
      <c r="F14" t="s">
        <v>127</v>
      </c>
      <c r="G14" t="s">
        <v>128</v>
      </c>
      <c r="H14" t="s">
        <v>129</v>
      </c>
      <c r="I14" t="s">
        <v>130</v>
      </c>
      <c r="J14" t="str">
        <f t="shared" si="0"/>
        <v>Herr Juergen Maikisch ; ENT EIS ; BAU04 ; EG.01</v>
      </c>
      <c r="K14" t="s">
        <v>131</v>
      </c>
    </row>
    <row r="15" spans="1:12" x14ac:dyDescent="0.25">
      <c r="A15" s="30" t="s">
        <v>132</v>
      </c>
      <c r="B15" t="s">
        <v>133</v>
      </c>
      <c r="C15" t="s">
        <v>44</v>
      </c>
      <c r="D15" t="s">
        <v>134</v>
      </c>
      <c r="E15" t="s">
        <v>111</v>
      </c>
      <c r="F15">
        <v>102</v>
      </c>
      <c r="G15" t="s">
        <v>135</v>
      </c>
      <c r="H15" t="s">
        <v>136</v>
      </c>
      <c r="I15" t="s">
        <v>137</v>
      </c>
      <c r="J15" t="str">
        <f t="shared" si="0"/>
        <v>Herr Kurt Moerth ; BRG NLB ; BAU01 ; 102</v>
      </c>
      <c r="K15" t="s">
        <v>138</v>
      </c>
      <c r="L15" t="str">
        <f t="shared" ref="L15:L29" si="4">B15&amp;" "&amp;A15</f>
        <v>Kurt Moerth</v>
      </c>
    </row>
    <row r="16" spans="1:12" x14ac:dyDescent="0.25">
      <c r="A16" s="30" t="s">
        <v>139</v>
      </c>
      <c r="B16" t="s">
        <v>140</v>
      </c>
      <c r="C16" t="s">
        <v>44</v>
      </c>
      <c r="D16" t="s">
        <v>141</v>
      </c>
      <c r="E16" t="s">
        <v>142</v>
      </c>
      <c r="F16" t="s">
        <v>143</v>
      </c>
      <c r="G16" t="s">
        <v>144</v>
      </c>
      <c r="H16" t="s">
        <v>145</v>
      </c>
      <c r="I16" t="s">
        <v>146</v>
      </c>
      <c r="J16" t="str">
        <f t="shared" si="0"/>
        <v>Herr Manfred Painer ; WEZ EL ; BAU HP ; E0.05</v>
      </c>
      <c r="K16" t="s">
        <v>147</v>
      </c>
      <c r="L16" t="str">
        <f t="shared" si="4"/>
        <v>Manfred Painer</v>
      </c>
    </row>
    <row r="17" spans="1:12" x14ac:dyDescent="0.25">
      <c r="A17" s="30" t="s">
        <v>148</v>
      </c>
      <c r="B17" t="s">
        <v>149</v>
      </c>
      <c r="C17" t="s">
        <v>44</v>
      </c>
      <c r="D17" t="s">
        <v>53</v>
      </c>
      <c r="E17" t="s">
        <v>61</v>
      </c>
      <c r="F17" t="s">
        <v>294</v>
      </c>
      <c r="G17" t="s">
        <v>150</v>
      </c>
      <c r="H17" s="28" t="s">
        <v>295</v>
      </c>
      <c r="I17" t="s">
        <v>151</v>
      </c>
      <c r="J17" t="str">
        <f t="shared" si="0"/>
        <v>Herr Andreas Pertl ; VIE SIE ; GEBAEUDE 60 ; 60.EG.112</v>
      </c>
      <c r="K17" t="s">
        <v>58</v>
      </c>
      <c r="L17" t="str">
        <f t="shared" si="4"/>
        <v>Andreas Pertl</v>
      </c>
    </row>
    <row r="18" spans="1:12" x14ac:dyDescent="0.25">
      <c r="A18" s="30" t="s">
        <v>152</v>
      </c>
      <c r="B18" t="s">
        <v>153</v>
      </c>
      <c r="C18" t="s">
        <v>44</v>
      </c>
      <c r="D18" t="s">
        <v>154</v>
      </c>
      <c r="E18" t="s">
        <v>155</v>
      </c>
      <c r="F18" t="s">
        <v>156</v>
      </c>
      <c r="G18" t="s">
        <v>157</v>
      </c>
      <c r="H18" s="28" t="s">
        <v>158</v>
      </c>
      <c r="I18" t="s">
        <v>159</v>
      </c>
      <c r="J18" t="str">
        <f t="shared" si="0"/>
        <v>Herr Klaus Prandstaetter ; LNZ KR ; BAU B ; B214</v>
      </c>
      <c r="K18" t="s">
        <v>160</v>
      </c>
      <c r="L18" t="str">
        <f t="shared" si="4"/>
        <v>Klaus Prandstaetter</v>
      </c>
    </row>
    <row r="19" spans="1:12" x14ac:dyDescent="0.25">
      <c r="A19" s="30" t="s">
        <v>161</v>
      </c>
      <c r="B19" t="s">
        <v>90</v>
      </c>
      <c r="C19" t="s">
        <v>44</v>
      </c>
      <c r="D19" t="s">
        <v>110</v>
      </c>
      <c r="E19" t="s">
        <v>111</v>
      </c>
      <c r="F19">
        <v>1048</v>
      </c>
      <c r="G19" t="s">
        <v>162</v>
      </c>
      <c r="H19" t="s">
        <v>163</v>
      </c>
      <c r="I19" t="s">
        <v>164</v>
      </c>
      <c r="J19" t="str">
        <f t="shared" si="0"/>
        <v>Herr Martin Reisinger ; LNZ NLL ; BAU01 ; 1048</v>
      </c>
      <c r="K19" t="s">
        <v>115</v>
      </c>
      <c r="L19" t="str">
        <f t="shared" si="4"/>
        <v>Martin Reisinger</v>
      </c>
    </row>
    <row r="20" spans="1:12" x14ac:dyDescent="0.25">
      <c r="A20" s="30" t="s">
        <v>165</v>
      </c>
      <c r="B20" t="s">
        <v>166</v>
      </c>
      <c r="C20" t="s">
        <v>44</v>
      </c>
      <c r="D20" t="s">
        <v>53</v>
      </c>
      <c r="E20" t="s">
        <v>61</v>
      </c>
      <c r="F20" t="s">
        <v>62</v>
      </c>
      <c r="G20" t="s">
        <v>167</v>
      </c>
      <c r="H20" t="s">
        <v>168</v>
      </c>
      <c r="I20" t="s">
        <v>169</v>
      </c>
      <c r="J20" t="str">
        <f t="shared" si="0"/>
        <v>Herr Siegfried Roemer ; VIE SIE ; GEBAEUDE 60 ; 60.10.094</v>
      </c>
      <c r="K20" t="s">
        <v>58</v>
      </c>
      <c r="L20" t="str">
        <f t="shared" si="4"/>
        <v>Siegfried Roemer</v>
      </c>
    </row>
    <row r="21" spans="1:12" x14ac:dyDescent="0.25">
      <c r="A21" s="30" t="s">
        <v>170</v>
      </c>
      <c r="B21" t="s">
        <v>171</v>
      </c>
      <c r="C21" t="s">
        <v>44</v>
      </c>
      <c r="D21" t="s">
        <v>53</v>
      </c>
      <c r="E21" t="s">
        <v>61</v>
      </c>
      <c r="F21" t="s">
        <v>172</v>
      </c>
      <c r="G21" t="s">
        <v>173</v>
      </c>
      <c r="H21" t="s">
        <v>174</v>
      </c>
      <c r="I21" t="s">
        <v>175</v>
      </c>
      <c r="J21" t="str">
        <f t="shared" si="0"/>
        <v>Herr Leopold Rudischer ; VIE SIE ; GEBAEUDE 60 ; 60.02.055</v>
      </c>
      <c r="K21" t="s">
        <v>58</v>
      </c>
      <c r="L21" t="str">
        <f t="shared" si="4"/>
        <v>Leopold Rudischer</v>
      </c>
    </row>
    <row r="22" spans="1:12" x14ac:dyDescent="0.25">
      <c r="A22" s="30" t="s">
        <v>176</v>
      </c>
      <c r="B22" t="s">
        <v>177</v>
      </c>
      <c r="C22" t="s">
        <v>44</v>
      </c>
      <c r="D22" t="s">
        <v>178</v>
      </c>
      <c r="E22" t="s">
        <v>111</v>
      </c>
      <c r="F22" t="s">
        <v>179</v>
      </c>
      <c r="G22" t="s">
        <v>180</v>
      </c>
      <c r="H22" t="s">
        <v>181</v>
      </c>
      <c r="I22" t="s">
        <v>182</v>
      </c>
      <c r="J22" t="str">
        <f t="shared" si="0"/>
        <v>Herr Roland Schruef ; GRZ NLG ; BAU01 ; E03</v>
      </c>
      <c r="K22" t="s">
        <v>183</v>
      </c>
      <c r="L22" t="str">
        <f t="shared" si="4"/>
        <v>Roland Schruef</v>
      </c>
    </row>
    <row r="23" spans="1:12" x14ac:dyDescent="0.25">
      <c r="A23" s="30" t="s">
        <v>184</v>
      </c>
      <c r="B23" t="s">
        <v>185</v>
      </c>
      <c r="C23" t="s">
        <v>44</v>
      </c>
      <c r="D23" t="s">
        <v>178</v>
      </c>
      <c r="E23" t="s">
        <v>111</v>
      </c>
      <c r="F23" t="s">
        <v>179</v>
      </c>
      <c r="G23" t="s">
        <v>186</v>
      </c>
      <c r="H23" s="28" t="s">
        <v>187</v>
      </c>
      <c r="I23" s="29" t="s">
        <v>188</v>
      </c>
      <c r="J23" t="str">
        <f t="shared" si="0"/>
        <v>Herr Jürgen Schweighofer J. ; GRZ NLG ; BAU01 ; E03</v>
      </c>
      <c r="K23" t="s">
        <v>183</v>
      </c>
      <c r="L23" t="str">
        <f t="shared" si="4"/>
        <v>Jürgen Schweighofer J.</v>
      </c>
    </row>
    <row r="24" spans="1:12" x14ac:dyDescent="0.25">
      <c r="A24" s="30" t="s">
        <v>189</v>
      </c>
      <c r="B24" t="s">
        <v>190</v>
      </c>
      <c r="C24" t="s">
        <v>44</v>
      </c>
      <c r="D24" t="s">
        <v>141</v>
      </c>
      <c r="E24" t="s">
        <v>142</v>
      </c>
      <c r="F24" t="s">
        <v>143</v>
      </c>
      <c r="G24" t="s">
        <v>191</v>
      </c>
      <c r="H24" t="s">
        <v>192</v>
      </c>
      <c r="I24" t="s">
        <v>193</v>
      </c>
      <c r="J24" t="str">
        <f t="shared" si="0"/>
        <v>Herr Herbert Schweighofer H. ; WEZ EL ; BAU HP ; E0.05</v>
      </c>
      <c r="K24" t="s">
        <v>147</v>
      </c>
      <c r="L24" t="str">
        <f t="shared" si="4"/>
        <v>Herbert Schweighofer H.</v>
      </c>
    </row>
    <row r="25" spans="1:12" x14ac:dyDescent="0.25">
      <c r="A25" s="30" t="s">
        <v>194</v>
      </c>
      <c r="B25" t="s">
        <v>195</v>
      </c>
      <c r="C25" t="s">
        <v>44</v>
      </c>
      <c r="D25" t="s">
        <v>141</v>
      </c>
      <c r="E25" t="s">
        <v>142</v>
      </c>
      <c r="F25" t="s">
        <v>143</v>
      </c>
      <c r="G25" t="s">
        <v>196</v>
      </c>
      <c r="H25" t="s">
        <v>197</v>
      </c>
      <c r="I25" t="s">
        <v>198</v>
      </c>
      <c r="J25" t="str">
        <f t="shared" si="0"/>
        <v>Herr Christian Spirk ; WEZ EL ; BAU HP ; E0.05</v>
      </c>
      <c r="K25" t="s">
        <v>147</v>
      </c>
      <c r="L25" t="str">
        <f t="shared" si="4"/>
        <v>Christian Spirk</v>
      </c>
    </row>
    <row r="26" spans="1:12" x14ac:dyDescent="0.25">
      <c r="A26" s="30" t="s">
        <v>199</v>
      </c>
      <c r="B26" t="s">
        <v>200</v>
      </c>
      <c r="C26" t="s">
        <v>44</v>
      </c>
      <c r="D26" t="s">
        <v>83</v>
      </c>
      <c r="E26" t="s">
        <v>111</v>
      </c>
      <c r="F26">
        <v>106</v>
      </c>
      <c r="G26" t="s">
        <v>201</v>
      </c>
      <c r="H26" s="28" t="s">
        <v>202</v>
      </c>
      <c r="I26" t="s">
        <v>203</v>
      </c>
      <c r="J26" t="str">
        <f t="shared" si="0"/>
        <v>Herr Stefan Stattmann ; KLU NLK ; BAU01 ; 106</v>
      </c>
      <c r="K26" t="s">
        <v>88</v>
      </c>
      <c r="L26" t="str">
        <f t="shared" si="4"/>
        <v>Stefan Stattmann</v>
      </c>
    </row>
    <row r="27" spans="1:12" x14ac:dyDescent="0.25">
      <c r="A27" s="30" t="s">
        <v>204</v>
      </c>
      <c r="B27" t="s">
        <v>96</v>
      </c>
      <c r="C27" t="s">
        <v>44</v>
      </c>
      <c r="D27" t="s">
        <v>53</v>
      </c>
      <c r="E27" t="s">
        <v>205</v>
      </c>
      <c r="F27">
        <v>1031</v>
      </c>
      <c r="G27" t="s">
        <v>206</v>
      </c>
      <c r="H27" t="s">
        <v>207</v>
      </c>
      <c r="I27" t="s">
        <v>208</v>
      </c>
      <c r="J27" t="str">
        <f t="shared" si="0"/>
        <v>Herr Werner Treml ; VIE SIE ; BAU12 ; 1031</v>
      </c>
      <c r="K27" t="s">
        <v>58</v>
      </c>
      <c r="L27" t="str">
        <f t="shared" si="4"/>
        <v>Werner Treml</v>
      </c>
    </row>
    <row r="28" spans="1:12" x14ac:dyDescent="0.25">
      <c r="A28" s="30" t="s">
        <v>209</v>
      </c>
      <c r="B28" t="s">
        <v>210</v>
      </c>
      <c r="C28" t="s">
        <v>44</v>
      </c>
      <c r="D28" t="s">
        <v>211</v>
      </c>
      <c r="E28" t="s">
        <v>212</v>
      </c>
      <c r="F28">
        <v>3251</v>
      </c>
      <c r="G28" t="s">
        <v>213</v>
      </c>
      <c r="H28" s="28" t="s">
        <v>214</v>
      </c>
      <c r="I28" s="31" t="s">
        <v>215</v>
      </c>
      <c r="J28" t="str">
        <f t="shared" si="0"/>
        <v>Herr Eric Vitzthum ; SZG NLS ; BAU02 ; 3251</v>
      </c>
      <c r="K28" t="s">
        <v>216</v>
      </c>
      <c r="L28" t="str">
        <f t="shared" si="4"/>
        <v>Eric Vitzthum</v>
      </c>
    </row>
    <row r="29" spans="1:12" x14ac:dyDescent="0.25">
      <c r="A29" s="30" t="s">
        <v>217</v>
      </c>
      <c r="B29" t="s">
        <v>90</v>
      </c>
      <c r="C29" t="s">
        <v>44</v>
      </c>
      <c r="D29" t="s">
        <v>45</v>
      </c>
      <c r="E29" t="s">
        <v>46</v>
      </c>
      <c r="F29" t="s">
        <v>218</v>
      </c>
      <c r="G29" t="s">
        <v>219</v>
      </c>
      <c r="H29" t="s">
        <v>220</v>
      </c>
      <c r="I29" t="s">
        <v>221</v>
      </c>
      <c r="J29" t="str">
        <f t="shared" ref="J29" si="5">CONCATENATE(C29," ",B29," ",A29," ; ",D29," ; ",E29," ; ",F29)</f>
        <v>Herr Martin Zugriegl ; VIE LEB ; B100 ; E055</v>
      </c>
      <c r="K29" t="s">
        <v>50</v>
      </c>
      <c r="L29" t="str">
        <f t="shared" si="4"/>
        <v>Martin Zugriegl</v>
      </c>
    </row>
    <row r="30" spans="1:12" x14ac:dyDescent="0.25">
      <c r="J30" t="str">
        <f t="shared" ref="J30:J41" si="6">CONCATENATE(C30," ",B30," ",A30," ; ",D30," ; ",E30," ; ",F30)</f>
        <v xml:space="preserve">   ;  ;  ; </v>
      </c>
      <c r="L30" t="str">
        <f t="shared" ref="L30:L50" si="7">B30&amp;" "&amp;A30</f>
        <v xml:space="preserve"> </v>
      </c>
    </row>
    <row r="31" spans="1:12" x14ac:dyDescent="0.25">
      <c r="J31" t="str">
        <f t="shared" si="6"/>
        <v xml:space="preserve">   ;  ;  ; </v>
      </c>
      <c r="L31" t="str">
        <f t="shared" si="7"/>
        <v xml:space="preserve"> </v>
      </c>
    </row>
    <row r="32" spans="1:12" x14ac:dyDescent="0.25">
      <c r="J32" t="str">
        <f t="shared" si="6"/>
        <v xml:space="preserve">   ;  ;  ; </v>
      </c>
      <c r="L32" t="str">
        <f t="shared" si="7"/>
        <v xml:space="preserve"> </v>
      </c>
    </row>
    <row r="33" spans="8:12" x14ac:dyDescent="0.25">
      <c r="H33" s="28"/>
      <c r="I33" s="31"/>
      <c r="J33" t="str">
        <f t="shared" si="6"/>
        <v xml:space="preserve">   ;  ;  ; </v>
      </c>
      <c r="L33" t="str">
        <f t="shared" si="7"/>
        <v xml:space="preserve"> </v>
      </c>
    </row>
    <row r="34" spans="8:12" x14ac:dyDescent="0.25">
      <c r="J34" t="str">
        <f t="shared" si="6"/>
        <v xml:space="preserve">   ;  ;  ; </v>
      </c>
      <c r="L34" t="str">
        <f t="shared" si="7"/>
        <v xml:space="preserve"> </v>
      </c>
    </row>
    <row r="35" spans="8:12" x14ac:dyDescent="0.25">
      <c r="J35" t="str">
        <f t="shared" si="6"/>
        <v xml:space="preserve">   ;  ;  ; </v>
      </c>
      <c r="L35" t="str">
        <f t="shared" si="7"/>
        <v xml:space="preserve"> </v>
      </c>
    </row>
    <row r="36" spans="8:12" x14ac:dyDescent="0.25">
      <c r="J36" t="str">
        <f t="shared" si="6"/>
        <v xml:space="preserve">   ;  ;  ; </v>
      </c>
      <c r="L36" t="str">
        <f t="shared" si="7"/>
        <v xml:space="preserve"> </v>
      </c>
    </row>
    <row r="37" spans="8:12" x14ac:dyDescent="0.25">
      <c r="H37" s="28"/>
      <c r="J37" t="str">
        <f t="shared" si="6"/>
        <v xml:space="preserve">   ;  ;  ; </v>
      </c>
      <c r="L37" t="str">
        <f t="shared" si="7"/>
        <v xml:space="preserve"> </v>
      </c>
    </row>
    <row r="38" spans="8:12" x14ac:dyDescent="0.25">
      <c r="H38" s="28"/>
      <c r="J38" t="str">
        <f t="shared" si="6"/>
        <v xml:space="preserve">   ;  ;  ; </v>
      </c>
      <c r="L38" t="str">
        <f t="shared" si="7"/>
        <v xml:space="preserve"> </v>
      </c>
    </row>
    <row r="39" spans="8:12" x14ac:dyDescent="0.25">
      <c r="H39" s="28"/>
      <c r="J39" t="str">
        <f t="shared" si="6"/>
        <v xml:space="preserve">   ;  ;  ; </v>
      </c>
      <c r="L39" t="str">
        <f t="shared" si="7"/>
        <v xml:space="preserve"> </v>
      </c>
    </row>
    <row r="40" spans="8:12" x14ac:dyDescent="0.25">
      <c r="H40" s="28"/>
      <c r="J40" t="str">
        <f t="shared" si="6"/>
        <v xml:space="preserve">   ;  ;  ; </v>
      </c>
      <c r="L40" t="str">
        <f t="shared" si="7"/>
        <v xml:space="preserve"> </v>
      </c>
    </row>
    <row r="41" spans="8:12" x14ac:dyDescent="0.25">
      <c r="H41" s="28"/>
      <c r="J41" t="str">
        <f t="shared" si="6"/>
        <v xml:space="preserve">   ;  ;  ; </v>
      </c>
      <c r="L41" t="str">
        <f t="shared" si="7"/>
        <v xml:space="preserve"> </v>
      </c>
    </row>
    <row r="42" spans="8:12" x14ac:dyDescent="0.25">
      <c r="J42" t="str">
        <f t="shared" ref="J42:J50" si="8">CONCATENATE(C42," ",B42," ",A42," ; ",D42," ; ",E42," ; ",F42)</f>
        <v xml:space="preserve">   ;  ;  ; </v>
      </c>
      <c r="L42" t="str">
        <f t="shared" si="7"/>
        <v xml:space="preserve"> </v>
      </c>
    </row>
    <row r="43" spans="8:12" x14ac:dyDescent="0.25">
      <c r="J43" t="str">
        <f t="shared" si="8"/>
        <v xml:space="preserve">   ;  ;  ; </v>
      </c>
      <c r="L43" t="str">
        <f t="shared" si="7"/>
        <v xml:space="preserve"> </v>
      </c>
    </row>
    <row r="44" spans="8:12" x14ac:dyDescent="0.25">
      <c r="J44" t="str">
        <f t="shared" si="8"/>
        <v xml:space="preserve">   ;  ;  ; </v>
      </c>
      <c r="L44" t="str">
        <f t="shared" si="7"/>
        <v xml:space="preserve"> </v>
      </c>
    </row>
    <row r="45" spans="8:12" x14ac:dyDescent="0.25">
      <c r="J45" t="str">
        <f t="shared" si="8"/>
        <v xml:space="preserve">   ;  ;  ; </v>
      </c>
      <c r="L45" t="str">
        <f t="shared" si="7"/>
        <v xml:space="preserve"> </v>
      </c>
    </row>
    <row r="46" spans="8:12" x14ac:dyDescent="0.25">
      <c r="J46" t="str">
        <f t="shared" si="8"/>
        <v xml:space="preserve">   ;  ;  ; </v>
      </c>
      <c r="L46" t="str">
        <f t="shared" si="7"/>
        <v xml:space="preserve"> </v>
      </c>
    </row>
    <row r="47" spans="8:12" x14ac:dyDescent="0.25">
      <c r="J47" t="str">
        <f t="shared" si="8"/>
        <v xml:space="preserve">   ;  ;  ; </v>
      </c>
      <c r="L47" t="str">
        <f t="shared" si="7"/>
        <v xml:space="preserve"> </v>
      </c>
    </row>
    <row r="48" spans="8:12" x14ac:dyDescent="0.25">
      <c r="J48" t="str">
        <f t="shared" si="8"/>
        <v xml:space="preserve">   ;  ;  ; </v>
      </c>
      <c r="L48" t="str">
        <f t="shared" si="7"/>
        <v xml:space="preserve"> </v>
      </c>
    </row>
    <row r="49" spans="10:12" x14ac:dyDescent="0.25">
      <c r="J49" t="str">
        <f t="shared" si="8"/>
        <v xml:space="preserve">   ;  ;  ; </v>
      </c>
      <c r="L49" t="str">
        <f t="shared" si="7"/>
        <v xml:space="preserve"> </v>
      </c>
    </row>
    <row r="50" spans="10:12" x14ac:dyDescent="0.25">
      <c r="J50" t="str">
        <f t="shared" si="8"/>
        <v xml:space="preserve">   ;  ;  ; </v>
      </c>
      <c r="L50" t="str">
        <f t="shared" si="7"/>
        <v xml:space="preserve"> </v>
      </c>
    </row>
  </sheetData>
  <autoFilter ref="A1:L50" xr:uid="{00000000-0001-0000-0200-000000000000}"/>
  <sortState xmlns:xlrd2="http://schemas.microsoft.com/office/spreadsheetml/2017/richdata2" ref="A2:J32">
    <sortCondition ref="A2:A32"/>
  </sortState>
  <hyperlinks>
    <hyperlink ref="I13" r:id="rId1" display="mailto:roman.lettenbichler@siemens.com" xr:uid="{492BE68F-DBAC-4163-8C3D-E450EDE2975C}"/>
    <hyperlink ref="I23" r:id="rId2" display="mailto:eric.vitzthum@siemens.com" xr:uid="{599AB087-F5BF-4986-A554-844BFCD1EBD8}"/>
    <hyperlink ref="I28" r:id="rId3" display="mailto:eric.vitzthum@siemens.com" xr:uid="{692DF207-9939-4063-81B2-28C7B7255451}"/>
  </hyperlinks>
  <pageMargins left="0.7" right="0.7" top="0.78740157499999996" bottom="0.78740157499999996" header="0.3" footer="0.3"/>
  <pageSetup paperSize="9" orientation="portrait" r:id="rId4"/>
  <customProperties>
    <customPr name="EpmWorksheetKeyString_GUID" r:id="rId5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C33"/>
  <sheetViews>
    <sheetView workbookViewId="0">
      <selection activeCell="A30" sqref="A30"/>
    </sheetView>
  </sheetViews>
  <sheetFormatPr baseColWidth="10" defaultColWidth="57.88671875" defaultRowHeight="13.2" x14ac:dyDescent="0.25"/>
  <cols>
    <col min="1" max="1" width="54.109375" bestFit="1" customWidth="1"/>
  </cols>
  <sheetData>
    <row r="1" spans="1:3" x14ac:dyDescent="0.25">
      <c r="A1" s="1" t="s">
        <v>222</v>
      </c>
    </row>
    <row r="2" spans="1:3" x14ac:dyDescent="0.25">
      <c r="A2" s="2" t="s">
        <v>223</v>
      </c>
      <c r="B2" t="s">
        <v>27</v>
      </c>
    </row>
    <row r="3" spans="1:3" x14ac:dyDescent="0.25">
      <c r="A3" s="2" t="s">
        <v>224</v>
      </c>
      <c r="B3" t="s">
        <v>27</v>
      </c>
      <c r="C3" t="s">
        <v>15</v>
      </c>
    </row>
    <row r="4" spans="1:3" x14ac:dyDescent="0.25">
      <c r="A4" s="2" t="s">
        <v>225</v>
      </c>
      <c r="B4" t="s">
        <v>25</v>
      </c>
      <c r="C4" t="s">
        <v>17</v>
      </c>
    </row>
    <row r="5" spans="1:3" x14ac:dyDescent="0.25">
      <c r="A5" s="2" t="s">
        <v>28</v>
      </c>
      <c r="B5" t="s">
        <v>28</v>
      </c>
      <c r="C5" t="s">
        <v>18</v>
      </c>
    </row>
    <row r="6" spans="1:3" x14ac:dyDescent="0.25">
      <c r="A6" s="2" t="s">
        <v>24</v>
      </c>
      <c r="B6" t="s">
        <v>24</v>
      </c>
      <c r="C6" t="s">
        <v>19</v>
      </c>
    </row>
    <row r="7" spans="1:3" x14ac:dyDescent="0.25">
      <c r="A7" s="2" t="s">
        <v>19</v>
      </c>
      <c r="B7" t="s">
        <v>19</v>
      </c>
      <c r="C7" t="s">
        <v>21</v>
      </c>
    </row>
    <row r="8" spans="1:3" x14ac:dyDescent="0.25">
      <c r="A8" s="2" t="s">
        <v>16</v>
      </c>
      <c r="B8" t="s">
        <v>16</v>
      </c>
      <c r="C8" t="s">
        <v>22</v>
      </c>
    </row>
    <row r="9" spans="1:3" x14ac:dyDescent="0.25">
      <c r="A9" s="2" t="s">
        <v>226</v>
      </c>
      <c r="B9" t="s">
        <v>25</v>
      </c>
      <c r="C9" t="s">
        <v>25</v>
      </c>
    </row>
    <row r="10" spans="1:3" x14ac:dyDescent="0.25">
      <c r="A10" s="2" t="s">
        <v>227</v>
      </c>
      <c r="B10" t="s">
        <v>17</v>
      </c>
      <c r="C10" t="s">
        <v>27</v>
      </c>
    </row>
    <row r="11" spans="1:3" x14ac:dyDescent="0.25">
      <c r="A11" s="2" t="s">
        <v>228</v>
      </c>
      <c r="B11" t="s">
        <v>17</v>
      </c>
      <c r="C11" t="s">
        <v>28</v>
      </c>
    </row>
    <row r="12" spans="1:3" x14ac:dyDescent="0.25">
      <c r="A12" s="2" t="s">
        <v>229</v>
      </c>
      <c r="B12" t="s">
        <v>17</v>
      </c>
      <c r="C12" t="s">
        <v>29</v>
      </c>
    </row>
    <row r="13" spans="1:3" x14ac:dyDescent="0.25">
      <c r="A13" s="2" t="s">
        <v>25</v>
      </c>
      <c r="B13" t="s">
        <v>25</v>
      </c>
      <c r="C13" t="s">
        <v>16</v>
      </c>
    </row>
    <row r="14" spans="1:3" x14ac:dyDescent="0.25">
      <c r="A14" s="2" t="s">
        <v>230</v>
      </c>
      <c r="B14" t="s">
        <v>25</v>
      </c>
      <c r="C14" t="s">
        <v>20</v>
      </c>
    </row>
    <row r="15" spans="1:3" x14ac:dyDescent="0.25">
      <c r="A15" s="2" t="s">
        <v>231</v>
      </c>
      <c r="B15" t="s">
        <v>21</v>
      </c>
    </row>
    <row r="16" spans="1:3" x14ac:dyDescent="0.25">
      <c r="A16" s="2" t="s">
        <v>232</v>
      </c>
      <c r="B16" t="s">
        <v>18</v>
      </c>
    </row>
    <row r="17" spans="1:2" x14ac:dyDescent="0.25">
      <c r="A17" s="2" t="s">
        <v>20</v>
      </c>
      <c r="B17" t="s">
        <v>18</v>
      </c>
    </row>
    <row r="18" spans="1:2" x14ac:dyDescent="0.25">
      <c r="A18" s="2" t="s">
        <v>233</v>
      </c>
      <c r="B18" t="s">
        <v>20</v>
      </c>
    </row>
    <row r="19" spans="1:2" x14ac:dyDescent="0.25">
      <c r="A19" s="2" t="s">
        <v>234</v>
      </c>
      <c r="B19" t="s">
        <v>20</v>
      </c>
    </row>
    <row r="20" spans="1:2" x14ac:dyDescent="0.25">
      <c r="A20" s="15" t="s">
        <v>23</v>
      </c>
      <c r="B20" t="s">
        <v>23</v>
      </c>
    </row>
    <row r="21" spans="1:2" x14ac:dyDescent="0.25">
      <c r="A21" s="14" t="s">
        <v>235</v>
      </c>
      <c r="B21" t="s">
        <v>15</v>
      </c>
    </row>
    <row r="22" spans="1:2" x14ac:dyDescent="0.25">
      <c r="A22" s="2" t="s">
        <v>29</v>
      </c>
      <c r="B22" t="s">
        <v>29</v>
      </c>
    </row>
    <row r="23" spans="1:2" x14ac:dyDescent="0.25">
      <c r="A23" s="3" t="s">
        <v>236</v>
      </c>
      <c r="B23" t="s">
        <v>25</v>
      </c>
    </row>
    <row r="24" spans="1:2" x14ac:dyDescent="0.25">
      <c r="A24" s="18" t="s">
        <v>26</v>
      </c>
      <c r="B24" t="s">
        <v>26</v>
      </c>
    </row>
    <row r="25" spans="1:2" x14ac:dyDescent="0.25">
      <c r="A25" s="18"/>
    </row>
    <row r="26" spans="1:2" x14ac:dyDescent="0.25">
      <c r="A26" s="2"/>
    </row>
    <row r="27" spans="1:2" x14ac:dyDescent="0.25">
      <c r="A27" s="2"/>
    </row>
    <row r="28" spans="1:2" x14ac:dyDescent="0.25">
      <c r="A28" s="3"/>
    </row>
    <row r="29" spans="1:2" x14ac:dyDescent="0.25">
      <c r="A29" s="18"/>
    </row>
    <row r="32" spans="1:2" x14ac:dyDescent="0.25">
      <c r="A32" s="15" t="s">
        <v>237</v>
      </c>
    </row>
    <row r="33" spans="1:1" x14ac:dyDescent="0.25">
      <c r="A33" s="15" t="s">
        <v>238</v>
      </c>
    </row>
  </sheetData>
  <sortState xmlns:xlrd2="http://schemas.microsoft.com/office/spreadsheetml/2017/richdata2" ref="A2:B33">
    <sortCondition ref="A2:A33"/>
  </sortState>
  <pageMargins left="0.7" right="0.7" top="0.78740157499999996" bottom="0.78740157499999996" header="0.3" footer="0.3"/>
  <pageSetup paperSize="9" orientation="portrait" r:id="rId1"/>
  <customProperties>
    <customPr name="EpmWorksheetKeyString_GU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D13"/>
  <sheetViews>
    <sheetView workbookViewId="0">
      <selection activeCell="A14" sqref="A14"/>
    </sheetView>
  </sheetViews>
  <sheetFormatPr baseColWidth="10" defaultColWidth="11.5546875" defaultRowHeight="13.2" x14ac:dyDescent="0.25"/>
  <cols>
    <col min="1" max="1" width="11.5546875" style="25"/>
    <col min="2" max="2" width="95.33203125" style="26" customWidth="1"/>
    <col min="3" max="3" width="13.88671875" style="26" bestFit="1" customWidth="1"/>
    <col min="4" max="16384" width="11.5546875" style="26"/>
  </cols>
  <sheetData>
    <row r="1" spans="1:4" x14ac:dyDescent="0.25">
      <c r="A1" s="25" t="s">
        <v>239</v>
      </c>
      <c r="B1" s="26" t="s">
        <v>240</v>
      </c>
      <c r="C1" s="26" t="s">
        <v>241</v>
      </c>
      <c r="D1" s="26" t="s">
        <v>242</v>
      </c>
    </row>
    <row r="2" spans="1:4" x14ac:dyDescent="0.25">
      <c r="A2" s="25" t="s">
        <v>243</v>
      </c>
      <c r="B2" s="26" t="s">
        <v>244</v>
      </c>
      <c r="C2" s="26" t="s">
        <v>89</v>
      </c>
      <c r="D2" s="27">
        <v>42720</v>
      </c>
    </row>
    <row r="3" spans="1:4" ht="39.6" x14ac:dyDescent="0.25">
      <c r="A3" s="25" t="s">
        <v>245</v>
      </c>
      <c r="B3" s="26" t="s">
        <v>246</v>
      </c>
      <c r="C3" s="26" t="s">
        <v>89</v>
      </c>
      <c r="D3" s="27">
        <v>42762</v>
      </c>
    </row>
    <row r="4" spans="1:4" x14ac:dyDescent="0.25">
      <c r="A4" s="25" t="s">
        <v>247</v>
      </c>
      <c r="B4" s="26" t="s">
        <v>248</v>
      </c>
      <c r="C4" s="26" t="s">
        <v>89</v>
      </c>
      <c r="D4" s="27">
        <v>42781</v>
      </c>
    </row>
    <row r="5" spans="1:4" x14ac:dyDescent="0.25">
      <c r="A5" s="25" t="s">
        <v>249</v>
      </c>
      <c r="B5" s="26" t="s">
        <v>250</v>
      </c>
      <c r="C5" s="26" t="s">
        <v>89</v>
      </c>
      <c r="D5" s="27">
        <v>42787</v>
      </c>
    </row>
    <row r="6" spans="1:4" x14ac:dyDescent="0.25">
      <c r="A6" s="25" t="s">
        <v>251</v>
      </c>
      <c r="B6" s="26" t="s">
        <v>252</v>
      </c>
      <c r="C6" s="26" t="s">
        <v>89</v>
      </c>
      <c r="D6" s="27">
        <v>42872</v>
      </c>
    </row>
    <row r="7" spans="1:4" x14ac:dyDescent="0.25">
      <c r="A7" s="25" t="s">
        <v>253</v>
      </c>
      <c r="B7" s="26" t="s">
        <v>254</v>
      </c>
      <c r="C7" s="26" t="s">
        <v>89</v>
      </c>
      <c r="D7" s="27">
        <v>42958</v>
      </c>
    </row>
    <row r="8" spans="1:4" x14ac:dyDescent="0.25">
      <c r="A8" s="25" t="s">
        <v>255</v>
      </c>
      <c r="B8" s="26" t="s">
        <v>256</v>
      </c>
      <c r="C8" s="26" t="s">
        <v>89</v>
      </c>
      <c r="D8" s="27">
        <v>43543</v>
      </c>
    </row>
    <row r="9" spans="1:4" x14ac:dyDescent="0.25">
      <c r="A9" s="25" t="s">
        <v>257</v>
      </c>
      <c r="B9" s="26" t="s">
        <v>258</v>
      </c>
    </row>
    <row r="10" spans="1:4" x14ac:dyDescent="0.25">
      <c r="A10" s="25" t="s">
        <v>259</v>
      </c>
      <c r="B10" s="26" t="s">
        <v>260</v>
      </c>
      <c r="C10" s="26" t="s">
        <v>89</v>
      </c>
      <c r="D10" s="27">
        <v>43740</v>
      </c>
    </row>
    <row r="11" spans="1:4" x14ac:dyDescent="0.25">
      <c r="A11" s="25" t="s">
        <v>261</v>
      </c>
      <c r="B11" s="26" t="s">
        <v>262</v>
      </c>
      <c r="C11" s="26" t="s">
        <v>89</v>
      </c>
      <c r="D11" s="27">
        <v>44606</v>
      </c>
    </row>
    <row r="12" spans="1:4" x14ac:dyDescent="0.25">
      <c r="A12" s="25" t="s">
        <v>263</v>
      </c>
      <c r="B12" s="26" t="s">
        <v>264</v>
      </c>
      <c r="C12" s="26" t="s">
        <v>89</v>
      </c>
      <c r="D12" s="27">
        <v>45062</v>
      </c>
    </row>
    <row r="13" spans="1:4" x14ac:dyDescent="0.25">
      <c r="A13" s="25" t="s">
        <v>292</v>
      </c>
      <c r="B13" s="26" t="s">
        <v>293</v>
      </c>
      <c r="C13" s="26" t="s">
        <v>89</v>
      </c>
      <c r="D13" s="27">
        <v>45218</v>
      </c>
    </row>
  </sheetData>
  <pageMargins left="0.7" right="0.7" top="0.78740157499999996" bottom="0.78740157499999996" header="0.3" footer="0.3"/>
  <pageSetup paperSize="9" orientation="portrait" r:id="rId1"/>
  <customProperties>
    <customPr name="EpmWorksheetKeyString_GU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V31"/>
  <sheetViews>
    <sheetView workbookViewId="0">
      <pane ySplit="792" topLeftCell="A13" activePane="bottomLeft"/>
      <selection activeCell="S1" sqref="S1:V1"/>
      <selection pane="bottomLeft" activeCell="D18" sqref="D18"/>
    </sheetView>
  </sheetViews>
  <sheetFormatPr baseColWidth="10" defaultColWidth="11.5546875" defaultRowHeight="13.2" x14ac:dyDescent="0.25"/>
  <cols>
    <col min="1" max="2" width="11.5546875" style="9"/>
    <col min="3" max="3" width="3.44140625" style="9" bestFit="1" customWidth="1"/>
    <col min="4" max="8" width="4.6640625" style="9" bestFit="1" customWidth="1"/>
    <col min="9" max="9" width="11.5546875" style="9"/>
    <col min="10" max="10" width="23.44140625" style="9" customWidth="1"/>
    <col min="11" max="11" width="55.109375" style="9" customWidth="1"/>
    <col min="12" max="12" width="19.109375" style="9" customWidth="1"/>
    <col min="13" max="13" width="11.5546875" style="9"/>
    <col min="14" max="20" width="4.6640625" style="9" customWidth="1"/>
    <col min="21" max="16384" width="11.5546875" style="9"/>
  </cols>
  <sheetData>
    <row r="1" spans="1:22" x14ac:dyDescent="0.25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</row>
    <row r="15" spans="1:22" x14ac:dyDescent="0.25">
      <c r="C15" s="9">
        <v>3</v>
      </c>
      <c r="D15" s="9">
        <v>4</v>
      </c>
      <c r="E15" s="9">
        <v>5</v>
      </c>
      <c r="F15" s="9">
        <v>6</v>
      </c>
      <c r="G15" s="9">
        <v>7</v>
      </c>
      <c r="H15" s="9">
        <v>8</v>
      </c>
    </row>
    <row r="16" spans="1:22" x14ac:dyDescent="0.25">
      <c r="C16" s="46" t="s">
        <v>265</v>
      </c>
      <c r="D16" s="47"/>
      <c r="E16" s="47"/>
      <c r="F16" s="47"/>
      <c r="G16" s="47"/>
      <c r="H16" s="48"/>
    </row>
    <row r="17" spans="3:12" x14ac:dyDescent="0.25">
      <c r="C17" s="7" t="s">
        <v>266</v>
      </c>
      <c r="D17" s="7" t="s">
        <v>267</v>
      </c>
      <c r="E17" s="7" t="s">
        <v>268</v>
      </c>
      <c r="F17" s="7" t="s">
        <v>269</v>
      </c>
      <c r="G17" s="7" t="s">
        <v>270</v>
      </c>
      <c r="H17" s="7" t="s">
        <v>271</v>
      </c>
    </row>
    <row r="18" spans="3:12" ht="269.39999999999998" customHeight="1" x14ac:dyDescent="0.25">
      <c r="C18" s="20" t="s">
        <v>272</v>
      </c>
      <c r="D18" s="20"/>
      <c r="E18" s="20"/>
      <c r="F18" s="20" t="str">
        <f>IF(ISNA(VLOOKUP(Erfassungsblatt!$E$1,BSPs!A:I,9,FALSE))=TRUE,"",VLOOKUP(Erfassungsblatt!$E$1,BSPs!A:I,9,FALSE))</f>
        <v xml:space="preserve">andreas.pertl@siemens.com </v>
      </c>
      <c r="G18" s="20"/>
      <c r="H18" s="20"/>
    </row>
    <row r="20" spans="3:12" x14ac:dyDescent="0.25">
      <c r="J20" s="9" t="s">
        <v>273</v>
      </c>
      <c r="K20" s="9" t="s">
        <v>274</v>
      </c>
      <c r="L20" s="21" t="s">
        <v>275</v>
      </c>
    </row>
    <row r="21" spans="3:12" ht="26.4" x14ac:dyDescent="0.25">
      <c r="J21" s="7" t="s">
        <v>276</v>
      </c>
      <c r="K21" s="9" t="str">
        <f>K22&amp;$L$21&amp;K23&amp;$L$21&amp;K24&amp;$L$21&amp;K25&amp;$L$21&amp;K26&amp;$L$21&amp;K27&amp;$L$21&amp;K28&amp;$L$21&amp;K29&amp;$L$21&amp;K30&amp;$L$21&amp;K31</f>
        <v xml:space="preserve">Sehr geehrte Damen und Herren,
Bitte um Abholung der in der Anlage aufgelisteten Altteile.
Details zum Abholort können Sie ebenfalls der Anlage entnehmen.
Vielen Dank
</v>
      </c>
      <c r="L21" s="22" t="s">
        <v>277</v>
      </c>
    </row>
    <row r="22" spans="3:12" x14ac:dyDescent="0.25">
      <c r="K22" s="21" t="s">
        <v>278</v>
      </c>
    </row>
    <row r="23" spans="3:12" x14ac:dyDescent="0.25">
      <c r="K23" s="23"/>
    </row>
    <row r="24" spans="3:12" x14ac:dyDescent="0.25">
      <c r="K24" s="23" t="s">
        <v>279</v>
      </c>
    </row>
    <row r="25" spans="3:12" x14ac:dyDescent="0.25">
      <c r="K25" s="23" t="s">
        <v>280</v>
      </c>
    </row>
    <row r="26" spans="3:12" x14ac:dyDescent="0.25">
      <c r="K26" s="23"/>
    </row>
    <row r="27" spans="3:12" x14ac:dyDescent="0.25">
      <c r="K27" s="23" t="s">
        <v>281</v>
      </c>
    </row>
    <row r="28" spans="3:12" x14ac:dyDescent="0.25">
      <c r="K28" s="23"/>
    </row>
    <row r="29" spans="3:12" x14ac:dyDescent="0.25">
      <c r="K29" s="23"/>
    </row>
    <row r="30" spans="3:12" x14ac:dyDescent="0.25">
      <c r="K30" s="23"/>
    </row>
    <row r="31" spans="3:12" x14ac:dyDescent="0.25">
      <c r="K31" s="24"/>
    </row>
  </sheetData>
  <mergeCells count="1">
    <mergeCell ref="C16:H16"/>
  </mergeCells>
  <hyperlinks>
    <hyperlink ref="C18" r:id="rId1" xr:uid="{00000000-0004-0000-0500-000000000000}"/>
  </hyperlinks>
  <pageMargins left="0.7" right="0.7" top="0.78740157499999996" bottom="0.78740157499999996" header="0.3" footer="0.3"/>
  <pageSetup paperSize="9" orientation="portrait" r:id="rId2"/>
  <customProperties>
    <customPr name="EpmWorksheetKeyString_GUID" r:id="rId3"/>
  </customProperties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0"/>
  <dimension ref="A1:M59"/>
  <sheetViews>
    <sheetView workbookViewId="0">
      <selection sqref="A1:K59"/>
    </sheetView>
  </sheetViews>
  <sheetFormatPr baseColWidth="10" defaultColWidth="11.44140625" defaultRowHeight="13.2" x14ac:dyDescent="0.25"/>
  <cols>
    <col min="2" max="2" width="17" customWidth="1"/>
    <col min="3" max="3" width="24" customWidth="1"/>
    <col min="4" max="4" width="28.33203125" customWidth="1"/>
    <col min="5" max="5" width="34.88671875" customWidth="1"/>
    <col min="6" max="6" width="12.88671875" customWidth="1"/>
    <col min="7" max="8" width="10.33203125" customWidth="1"/>
    <col min="9" max="9" width="57.109375" customWidth="1"/>
    <col min="10" max="10" width="28.6640625" customWidth="1"/>
    <col min="11" max="13" width="4.44140625" style="9" customWidth="1"/>
  </cols>
  <sheetData>
    <row r="1" spans="1:11" ht="28.8" thickTop="1" thickBot="1" x14ac:dyDescent="0.5">
      <c r="A1" s="32" t="s">
        <v>0</v>
      </c>
      <c r="B1" s="33"/>
      <c r="C1" s="33"/>
      <c r="D1" s="33"/>
      <c r="E1" s="8" t="s">
        <v>89</v>
      </c>
      <c r="G1" s="9"/>
      <c r="H1" s="9"/>
      <c r="I1" s="9"/>
      <c r="J1" s="9"/>
    </row>
    <row r="2" spans="1:11" ht="14.4" thickTop="1" thickBot="1" x14ac:dyDescent="0.3">
      <c r="C2" s="9"/>
      <c r="D2" s="9"/>
      <c r="E2" s="9"/>
      <c r="F2" s="9"/>
      <c r="G2" s="9"/>
      <c r="H2" s="9"/>
      <c r="I2" s="9"/>
      <c r="J2" s="9"/>
    </row>
    <row r="3" spans="1:11" ht="13.8" thickTop="1" x14ac:dyDescent="0.25">
      <c r="A3" s="37" t="s">
        <v>1</v>
      </c>
      <c r="B3" s="38"/>
      <c r="C3" s="38"/>
      <c r="D3" s="38"/>
      <c r="E3" s="39"/>
      <c r="G3" s="9"/>
      <c r="H3" s="9"/>
      <c r="I3" s="9"/>
      <c r="J3" s="9"/>
    </row>
    <row r="4" spans="1:11" x14ac:dyDescent="0.25">
      <c r="A4" s="34" t="s">
        <v>58</v>
      </c>
      <c r="B4" s="35"/>
      <c r="C4" s="35"/>
      <c r="D4" s="35"/>
      <c r="E4" s="36"/>
      <c r="G4" s="9"/>
      <c r="H4" s="9"/>
      <c r="I4" s="9"/>
      <c r="J4" s="9"/>
    </row>
    <row r="5" spans="1:11" ht="13.8" thickBot="1" x14ac:dyDescent="0.3">
      <c r="A5" s="40" t="s">
        <v>282</v>
      </c>
      <c r="B5" s="41"/>
      <c r="C5" s="41"/>
      <c r="D5" s="41"/>
      <c r="E5" s="42"/>
      <c r="G5" s="9"/>
      <c r="H5" s="9"/>
      <c r="I5" s="9"/>
      <c r="J5" s="9"/>
    </row>
    <row r="6" spans="1:11" ht="14.4" thickTop="1" thickBot="1" x14ac:dyDescent="0.3">
      <c r="C6" s="9"/>
      <c r="D6" s="9"/>
      <c r="E6" s="9"/>
      <c r="F6" s="9"/>
      <c r="G6" s="9"/>
      <c r="H6" s="9"/>
      <c r="I6" s="9"/>
      <c r="J6" s="9"/>
    </row>
    <row r="7" spans="1:11" ht="39.6" x14ac:dyDescent="0.25">
      <c r="A7" s="11" t="s">
        <v>2</v>
      </c>
      <c r="B7" s="11" t="s">
        <v>3</v>
      </c>
      <c r="C7" s="10" t="s">
        <v>4</v>
      </c>
      <c r="D7" s="10" t="s">
        <v>5</v>
      </c>
      <c r="E7" s="11" t="s">
        <v>6</v>
      </c>
      <c r="F7" s="10" t="s">
        <v>7</v>
      </c>
      <c r="G7" s="10" t="s">
        <v>8</v>
      </c>
      <c r="H7" s="10" t="s">
        <v>9</v>
      </c>
      <c r="I7" s="10" t="s">
        <v>10</v>
      </c>
      <c r="J7" s="11" t="s">
        <v>11</v>
      </c>
      <c r="K7" s="10" t="s">
        <v>12</v>
      </c>
    </row>
    <row r="8" spans="1:11" x14ac:dyDescent="0.25">
      <c r="A8" s="7">
        <v>1</v>
      </c>
      <c r="B8" s="7" t="s">
        <v>283</v>
      </c>
      <c r="C8" s="7" t="s">
        <v>283</v>
      </c>
      <c r="D8" s="19" t="s">
        <v>283</v>
      </c>
      <c r="E8" s="17" t="s">
        <v>283</v>
      </c>
      <c r="F8" s="7" t="s">
        <v>223</v>
      </c>
      <c r="G8" s="13" t="s">
        <v>27</v>
      </c>
      <c r="H8" s="12">
        <v>35231</v>
      </c>
      <c r="I8" s="16">
        <v>1</v>
      </c>
      <c r="J8" s="16" t="s">
        <v>284</v>
      </c>
      <c r="K8" s="43"/>
    </row>
    <row r="9" spans="1:11" x14ac:dyDescent="0.25">
      <c r="A9" s="7">
        <v>2</v>
      </c>
      <c r="B9" s="7"/>
      <c r="C9" s="7"/>
      <c r="D9" s="19"/>
      <c r="E9" s="17"/>
      <c r="F9" s="7"/>
      <c r="G9" s="13" t="e">
        <v>#N/A</v>
      </c>
      <c r="H9" s="12" t="e">
        <v>#N/A</v>
      </c>
      <c r="I9" s="16"/>
      <c r="J9" s="16"/>
      <c r="K9" s="44"/>
    </row>
    <row r="10" spans="1:11" x14ac:dyDescent="0.25">
      <c r="A10" s="7">
        <v>3</v>
      </c>
      <c r="B10" s="7"/>
      <c r="C10" s="7"/>
      <c r="D10" s="19"/>
      <c r="E10" s="17"/>
      <c r="F10" s="7"/>
      <c r="G10" s="13" t="e">
        <v>#N/A</v>
      </c>
      <c r="H10" s="12" t="e">
        <v>#N/A</v>
      </c>
      <c r="I10" s="16"/>
      <c r="J10" s="16"/>
      <c r="K10" s="44"/>
    </row>
    <row r="11" spans="1:11" x14ac:dyDescent="0.25">
      <c r="A11" s="7">
        <v>4</v>
      </c>
      <c r="B11" s="7"/>
      <c r="C11" s="7"/>
      <c r="D11" s="19"/>
      <c r="E11" s="17"/>
      <c r="F11" s="7"/>
      <c r="G11" s="13" t="e">
        <v>#N/A</v>
      </c>
      <c r="H11" s="12" t="e">
        <v>#N/A</v>
      </c>
      <c r="I11" s="16"/>
      <c r="J11" s="16"/>
      <c r="K11" s="44"/>
    </row>
    <row r="12" spans="1:11" x14ac:dyDescent="0.25">
      <c r="A12" s="7">
        <v>5</v>
      </c>
      <c r="B12" s="7"/>
      <c r="C12" s="7"/>
      <c r="D12" s="19"/>
      <c r="E12" s="17"/>
      <c r="F12" s="7"/>
      <c r="G12" s="13" t="e">
        <v>#N/A</v>
      </c>
      <c r="H12" s="12" t="e">
        <v>#N/A</v>
      </c>
      <c r="I12" s="16"/>
      <c r="J12" s="16"/>
      <c r="K12" s="44"/>
    </row>
    <row r="13" spans="1:11" x14ac:dyDescent="0.25">
      <c r="A13" s="7">
        <v>6</v>
      </c>
      <c r="B13" s="7"/>
      <c r="C13" s="7"/>
      <c r="D13" s="19"/>
      <c r="E13" s="17"/>
      <c r="F13" s="7"/>
      <c r="G13" s="13" t="e">
        <v>#N/A</v>
      </c>
      <c r="H13" s="12" t="e">
        <v>#N/A</v>
      </c>
      <c r="I13" s="16"/>
      <c r="J13" s="16"/>
      <c r="K13" s="44"/>
    </row>
    <row r="14" spans="1:11" x14ac:dyDescent="0.25">
      <c r="A14" s="7">
        <v>7</v>
      </c>
      <c r="B14" s="7"/>
      <c r="C14" s="7"/>
      <c r="D14" s="19"/>
      <c r="E14" s="17"/>
      <c r="F14" s="7"/>
      <c r="G14" s="13" t="e">
        <v>#N/A</v>
      </c>
      <c r="H14" s="12" t="e">
        <v>#N/A</v>
      </c>
      <c r="I14" s="16"/>
      <c r="J14" s="16"/>
      <c r="K14" s="44"/>
    </row>
    <row r="15" spans="1:11" x14ac:dyDescent="0.25">
      <c r="A15" s="7">
        <v>8</v>
      </c>
      <c r="B15" s="7"/>
      <c r="C15" s="7"/>
      <c r="D15" s="19"/>
      <c r="E15" s="17"/>
      <c r="F15" s="7"/>
      <c r="G15" s="13" t="e">
        <v>#N/A</v>
      </c>
      <c r="H15" s="12" t="e">
        <v>#N/A</v>
      </c>
      <c r="I15" s="16"/>
      <c r="J15" s="16"/>
      <c r="K15" s="44"/>
    </row>
    <row r="16" spans="1:11" x14ac:dyDescent="0.25">
      <c r="A16" s="7">
        <v>9</v>
      </c>
      <c r="B16" s="7"/>
      <c r="C16" s="7"/>
      <c r="D16" s="19"/>
      <c r="E16" s="17"/>
      <c r="F16" s="7"/>
      <c r="G16" s="13" t="e">
        <v>#N/A</v>
      </c>
      <c r="H16" s="12" t="e">
        <v>#N/A</v>
      </c>
      <c r="I16" s="16"/>
      <c r="J16" s="16"/>
      <c r="K16" s="44"/>
    </row>
    <row r="17" spans="1:11" x14ac:dyDescent="0.25">
      <c r="A17" s="7">
        <v>10</v>
      </c>
      <c r="B17" s="7"/>
      <c r="C17" s="7"/>
      <c r="D17" s="19"/>
      <c r="E17" s="17"/>
      <c r="F17" s="7"/>
      <c r="G17" s="13" t="e">
        <v>#N/A</v>
      </c>
      <c r="H17" s="12" t="e">
        <v>#N/A</v>
      </c>
      <c r="I17" s="16"/>
      <c r="J17" s="16"/>
      <c r="K17" s="44"/>
    </row>
    <row r="18" spans="1:11" x14ac:dyDescent="0.25">
      <c r="A18" s="7">
        <v>11</v>
      </c>
      <c r="B18" s="7"/>
      <c r="C18" s="7"/>
      <c r="D18" s="19"/>
      <c r="E18" s="17"/>
      <c r="F18" s="7"/>
      <c r="G18" s="13" t="e">
        <v>#N/A</v>
      </c>
      <c r="H18" s="12" t="e">
        <v>#N/A</v>
      </c>
      <c r="I18" s="16"/>
      <c r="J18" s="16"/>
      <c r="K18" s="44"/>
    </row>
    <row r="19" spans="1:11" x14ac:dyDescent="0.25">
      <c r="A19" s="7">
        <v>12</v>
      </c>
      <c r="B19" s="7"/>
      <c r="C19" s="7"/>
      <c r="D19" s="19"/>
      <c r="E19" s="17"/>
      <c r="F19" s="7"/>
      <c r="G19" s="13" t="e">
        <v>#N/A</v>
      </c>
      <c r="H19" s="12" t="e">
        <v>#N/A</v>
      </c>
      <c r="I19" s="16"/>
      <c r="J19" s="16"/>
      <c r="K19" s="44"/>
    </row>
    <row r="20" spans="1:11" x14ac:dyDescent="0.25">
      <c r="A20" s="7">
        <v>13</v>
      </c>
      <c r="B20" s="7"/>
      <c r="C20" s="7"/>
      <c r="D20" s="19"/>
      <c r="E20" s="17"/>
      <c r="F20" s="7"/>
      <c r="G20" s="13" t="e">
        <v>#N/A</v>
      </c>
      <c r="H20" s="12" t="e">
        <v>#N/A</v>
      </c>
      <c r="I20" s="16"/>
      <c r="J20" s="16"/>
      <c r="K20" s="44"/>
    </row>
    <row r="21" spans="1:11" x14ac:dyDescent="0.25">
      <c r="A21" s="7">
        <v>14</v>
      </c>
      <c r="B21" s="7"/>
      <c r="C21" s="7"/>
      <c r="D21" s="19"/>
      <c r="E21" s="17"/>
      <c r="F21" s="7"/>
      <c r="G21" s="13" t="e">
        <v>#N/A</v>
      </c>
      <c r="H21" s="12" t="e">
        <v>#N/A</v>
      </c>
      <c r="I21" s="16"/>
      <c r="J21" s="16"/>
      <c r="K21" s="44"/>
    </row>
    <row r="22" spans="1:11" x14ac:dyDescent="0.25">
      <c r="A22" s="7">
        <v>15</v>
      </c>
      <c r="B22" s="7"/>
      <c r="C22" s="7"/>
      <c r="D22" s="19"/>
      <c r="E22" s="17"/>
      <c r="F22" s="7"/>
      <c r="G22" s="13" t="e">
        <v>#N/A</v>
      </c>
      <c r="H22" s="12" t="e">
        <v>#N/A</v>
      </c>
      <c r="I22" s="16"/>
      <c r="J22" s="16"/>
      <c r="K22" s="44"/>
    </row>
    <row r="23" spans="1:11" x14ac:dyDescent="0.25">
      <c r="A23" s="7">
        <v>16</v>
      </c>
      <c r="B23" s="7"/>
      <c r="C23" s="7"/>
      <c r="D23" s="19"/>
      <c r="E23" s="17"/>
      <c r="F23" s="7"/>
      <c r="G23" s="13" t="e">
        <v>#N/A</v>
      </c>
      <c r="H23" s="12" t="e">
        <v>#N/A</v>
      </c>
      <c r="I23" s="16"/>
      <c r="J23" s="16"/>
      <c r="K23" s="44"/>
    </row>
    <row r="24" spans="1:11" x14ac:dyDescent="0.25">
      <c r="A24" s="7">
        <v>17</v>
      </c>
      <c r="B24" s="7"/>
      <c r="C24" s="7"/>
      <c r="D24" s="19"/>
      <c r="E24" s="17"/>
      <c r="F24" s="7"/>
      <c r="G24" s="13" t="e">
        <v>#N/A</v>
      </c>
      <c r="H24" s="12" t="e">
        <v>#N/A</v>
      </c>
      <c r="I24" s="16"/>
      <c r="J24" s="16"/>
      <c r="K24" s="44"/>
    </row>
    <row r="25" spans="1:11" x14ac:dyDescent="0.25">
      <c r="A25" s="7">
        <v>18</v>
      </c>
      <c r="B25" s="7"/>
      <c r="C25" s="7"/>
      <c r="D25" s="19"/>
      <c r="E25" s="17"/>
      <c r="F25" s="7"/>
      <c r="G25" s="13" t="e">
        <v>#N/A</v>
      </c>
      <c r="H25" s="12" t="e">
        <v>#N/A</v>
      </c>
      <c r="I25" s="16"/>
      <c r="J25" s="16"/>
      <c r="K25" s="44"/>
    </row>
    <row r="26" spans="1:11" x14ac:dyDescent="0.25">
      <c r="A26" s="7">
        <v>19</v>
      </c>
      <c r="B26" s="7"/>
      <c r="C26" s="7"/>
      <c r="D26" s="19"/>
      <c r="E26" s="17"/>
      <c r="F26" s="7"/>
      <c r="G26" s="13" t="e">
        <v>#N/A</v>
      </c>
      <c r="H26" s="12" t="e">
        <v>#N/A</v>
      </c>
      <c r="I26" s="16"/>
      <c r="J26" s="16"/>
      <c r="K26" s="44"/>
    </row>
    <row r="27" spans="1:11" x14ac:dyDescent="0.25">
      <c r="A27" s="7">
        <v>20</v>
      </c>
      <c r="B27" s="7"/>
      <c r="C27" s="7"/>
      <c r="D27" s="19"/>
      <c r="E27" s="17"/>
      <c r="F27" s="7"/>
      <c r="G27" s="13" t="e">
        <v>#N/A</v>
      </c>
      <c r="H27" s="12" t="e">
        <v>#N/A</v>
      </c>
      <c r="I27" s="16"/>
      <c r="J27" s="16"/>
      <c r="K27" s="44"/>
    </row>
    <row r="28" spans="1:11" x14ac:dyDescent="0.25">
      <c r="A28" s="7">
        <v>21</v>
      </c>
      <c r="B28" s="7"/>
      <c r="C28" s="7"/>
      <c r="D28" s="19"/>
      <c r="E28" s="17"/>
      <c r="F28" s="7"/>
      <c r="G28" s="13" t="e">
        <v>#N/A</v>
      </c>
      <c r="H28" s="12" t="e">
        <v>#N/A</v>
      </c>
      <c r="I28" s="16"/>
      <c r="J28" s="16"/>
      <c r="K28" s="44"/>
    </row>
    <row r="29" spans="1:11" x14ac:dyDescent="0.25">
      <c r="A29" s="7">
        <v>22</v>
      </c>
      <c r="B29" s="7"/>
      <c r="C29" s="7"/>
      <c r="D29" s="19"/>
      <c r="E29" s="17"/>
      <c r="F29" s="7"/>
      <c r="G29" s="13" t="e">
        <v>#N/A</v>
      </c>
      <c r="H29" s="12" t="e">
        <v>#N/A</v>
      </c>
      <c r="I29" s="16"/>
      <c r="J29" s="16"/>
      <c r="K29" s="44"/>
    </row>
    <row r="30" spans="1:11" x14ac:dyDescent="0.25">
      <c r="A30" s="7">
        <v>23</v>
      </c>
      <c r="B30" s="7"/>
      <c r="C30" s="7"/>
      <c r="D30" s="19"/>
      <c r="E30" s="17"/>
      <c r="F30" s="7"/>
      <c r="G30" s="13" t="e">
        <v>#N/A</v>
      </c>
      <c r="H30" s="12" t="e">
        <v>#N/A</v>
      </c>
      <c r="I30" s="16"/>
      <c r="J30" s="16"/>
      <c r="K30" s="44"/>
    </row>
    <row r="31" spans="1:11" x14ac:dyDescent="0.25">
      <c r="A31" s="7">
        <v>24</v>
      </c>
      <c r="B31" s="7"/>
      <c r="C31" s="7"/>
      <c r="D31" s="19"/>
      <c r="E31" s="17"/>
      <c r="F31" s="7"/>
      <c r="G31" s="13" t="e">
        <v>#N/A</v>
      </c>
      <c r="H31" s="12" t="e">
        <v>#N/A</v>
      </c>
      <c r="I31" s="16"/>
      <c r="J31" s="16"/>
      <c r="K31" s="44"/>
    </row>
    <row r="32" spans="1:11" x14ac:dyDescent="0.25">
      <c r="A32" s="7">
        <v>25</v>
      </c>
      <c r="B32" s="7"/>
      <c r="C32" s="7"/>
      <c r="D32" s="19"/>
      <c r="E32" s="17"/>
      <c r="F32" s="7"/>
      <c r="G32" s="13" t="e">
        <v>#N/A</v>
      </c>
      <c r="H32" s="12" t="e">
        <v>#N/A</v>
      </c>
      <c r="I32" s="16"/>
      <c r="J32" s="16"/>
      <c r="K32" s="44"/>
    </row>
    <row r="33" spans="1:11" x14ac:dyDescent="0.25">
      <c r="A33" s="7">
        <v>26</v>
      </c>
      <c r="B33" s="7"/>
      <c r="C33" s="7"/>
      <c r="D33" s="19"/>
      <c r="E33" s="17"/>
      <c r="F33" s="7"/>
      <c r="G33" s="13" t="e">
        <v>#N/A</v>
      </c>
      <c r="H33" s="12" t="e">
        <v>#N/A</v>
      </c>
      <c r="I33" s="16"/>
      <c r="J33" s="16"/>
      <c r="K33" s="44"/>
    </row>
    <row r="34" spans="1:11" x14ac:dyDescent="0.25">
      <c r="A34" s="7">
        <v>27</v>
      </c>
      <c r="B34" s="7"/>
      <c r="C34" s="7"/>
      <c r="D34" s="19"/>
      <c r="E34" s="17"/>
      <c r="F34" s="7"/>
      <c r="G34" s="13" t="e">
        <v>#N/A</v>
      </c>
      <c r="H34" s="12" t="e">
        <v>#N/A</v>
      </c>
      <c r="I34" s="16"/>
      <c r="J34" s="16"/>
      <c r="K34" s="44"/>
    </row>
    <row r="35" spans="1:11" x14ac:dyDescent="0.25">
      <c r="A35" s="7">
        <v>28</v>
      </c>
      <c r="B35" s="7"/>
      <c r="C35" s="7"/>
      <c r="D35" s="19"/>
      <c r="E35" s="17"/>
      <c r="F35" s="7"/>
      <c r="G35" s="13" t="e">
        <v>#N/A</v>
      </c>
      <c r="H35" s="12" t="e">
        <v>#N/A</v>
      </c>
      <c r="I35" s="16"/>
      <c r="J35" s="16"/>
      <c r="K35" s="44"/>
    </row>
    <row r="36" spans="1:11" x14ac:dyDescent="0.25">
      <c r="A36" s="7">
        <v>29</v>
      </c>
      <c r="B36" s="7"/>
      <c r="C36" s="7"/>
      <c r="D36" s="19"/>
      <c r="E36" s="17"/>
      <c r="F36" s="7"/>
      <c r="G36" s="13" t="e">
        <v>#N/A</v>
      </c>
      <c r="H36" s="12" t="e">
        <v>#N/A</v>
      </c>
      <c r="I36" s="16"/>
      <c r="J36" s="16"/>
      <c r="K36" s="44"/>
    </row>
    <row r="37" spans="1:11" x14ac:dyDescent="0.25">
      <c r="A37" s="7">
        <v>30</v>
      </c>
      <c r="B37" s="7"/>
      <c r="C37" s="7"/>
      <c r="D37" s="19"/>
      <c r="E37" s="17"/>
      <c r="F37" s="7"/>
      <c r="G37" s="13" t="e">
        <v>#N/A</v>
      </c>
      <c r="H37" s="12" t="e">
        <v>#N/A</v>
      </c>
      <c r="I37" s="16"/>
      <c r="J37" s="16"/>
      <c r="K37" s="44"/>
    </row>
    <row r="38" spans="1:11" x14ac:dyDescent="0.25">
      <c r="A38" s="7">
        <v>31</v>
      </c>
      <c r="B38" s="7"/>
      <c r="C38" s="7"/>
      <c r="D38" s="19"/>
      <c r="E38" s="17"/>
      <c r="F38" s="7"/>
      <c r="G38" s="13" t="e">
        <v>#N/A</v>
      </c>
      <c r="H38" s="12" t="e">
        <v>#N/A</v>
      </c>
      <c r="I38" s="16"/>
      <c r="J38" s="16"/>
      <c r="K38" s="44"/>
    </row>
    <row r="39" spans="1:11" x14ac:dyDescent="0.25">
      <c r="A39" s="7">
        <v>32</v>
      </c>
      <c r="B39" s="7"/>
      <c r="C39" s="7"/>
      <c r="D39" s="19"/>
      <c r="E39" s="17"/>
      <c r="F39" s="7"/>
      <c r="G39" s="13" t="e">
        <v>#N/A</v>
      </c>
      <c r="H39" s="12" t="e">
        <v>#N/A</v>
      </c>
      <c r="I39" s="16"/>
      <c r="J39" s="16"/>
      <c r="K39" s="44"/>
    </row>
    <row r="40" spans="1:11" x14ac:dyDescent="0.25">
      <c r="A40" s="7">
        <v>33</v>
      </c>
      <c r="B40" s="7"/>
      <c r="C40" s="7"/>
      <c r="D40" s="19"/>
      <c r="E40" s="17"/>
      <c r="F40" s="7"/>
      <c r="G40" s="13" t="e">
        <v>#N/A</v>
      </c>
      <c r="H40" s="12" t="e">
        <v>#N/A</v>
      </c>
      <c r="I40" s="16"/>
      <c r="J40" s="16"/>
      <c r="K40" s="44"/>
    </row>
    <row r="41" spans="1:11" x14ac:dyDescent="0.25">
      <c r="A41" s="7">
        <v>34</v>
      </c>
      <c r="B41" s="7"/>
      <c r="C41" s="7"/>
      <c r="D41" s="19"/>
      <c r="E41" s="17"/>
      <c r="F41" s="7"/>
      <c r="G41" s="13" t="e">
        <v>#N/A</v>
      </c>
      <c r="H41" s="12" t="e">
        <v>#N/A</v>
      </c>
      <c r="I41" s="16"/>
      <c r="J41" s="16"/>
      <c r="K41" s="44"/>
    </row>
    <row r="42" spans="1:11" x14ac:dyDescent="0.25">
      <c r="A42" s="7">
        <v>35</v>
      </c>
      <c r="B42" s="7"/>
      <c r="C42" s="7"/>
      <c r="D42" s="19"/>
      <c r="E42" s="17"/>
      <c r="F42" s="7"/>
      <c r="G42" s="13" t="e">
        <v>#N/A</v>
      </c>
      <c r="H42" s="12" t="e">
        <v>#N/A</v>
      </c>
      <c r="I42" s="16"/>
      <c r="J42" s="16"/>
      <c r="K42" s="44"/>
    </row>
    <row r="43" spans="1:11" x14ac:dyDescent="0.25">
      <c r="A43" s="7">
        <v>36</v>
      </c>
      <c r="B43" s="7"/>
      <c r="C43" s="7"/>
      <c r="D43" s="19"/>
      <c r="E43" s="17"/>
      <c r="F43" s="7"/>
      <c r="G43" s="13" t="e">
        <v>#N/A</v>
      </c>
      <c r="H43" s="12" t="e">
        <v>#N/A</v>
      </c>
      <c r="I43" s="16"/>
      <c r="J43" s="16"/>
      <c r="K43" s="44"/>
    </row>
    <row r="44" spans="1:11" x14ac:dyDescent="0.25">
      <c r="A44" s="7">
        <v>37</v>
      </c>
      <c r="B44" s="7"/>
      <c r="C44" s="7"/>
      <c r="D44" s="19"/>
      <c r="E44" s="17"/>
      <c r="F44" s="7"/>
      <c r="G44" s="13" t="e">
        <v>#N/A</v>
      </c>
      <c r="H44" s="12" t="e">
        <v>#N/A</v>
      </c>
      <c r="I44" s="16"/>
      <c r="J44" s="16"/>
      <c r="K44" s="44"/>
    </row>
    <row r="45" spans="1:11" x14ac:dyDescent="0.25">
      <c r="A45" s="7">
        <v>38</v>
      </c>
      <c r="B45" s="7"/>
      <c r="C45" s="7"/>
      <c r="D45" s="19"/>
      <c r="E45" s="17"/>
      <c r="F45" s="7"/>
      <c r="G45" s="13" t="e">
        <v>#N/A</v>
      </c>
      <c r="H45" s="12" t="e">
        <v>#N/A</v>
      </c>
      <c r="I45" s="16"/>
      <c r="J45" s="16"/>
      <c r="K45" s="44"/>
    </row>
    <row r="46" spans="1:11" x14ac:dyDescent="0.25">
      <c r="A46" s="7">
        <v>39</v>
      </c>
      <c r="B46" s="7"/>
      <c r="C46" s="7"/>
      <c r="D46" s="19"/>
      <c r="E46" s="17"/>
      <c r="F46" s="7"/>
      <c r="G46" s="13" t="e">
        <v>#N/A</v>
      </c>
      <c r="H46" s="12" t="e">
        <v>#N/A</v>
      </c>
      <c r="I46" s="16"/>
      <c r="J46" s="16"/>
      <c r="K46" s="44"/>
    </row>
    <row r="47" spans="1:11" x14ac:dyDescent="0.25">
      <c r="A47" s="7">
        <v>40</v>
      </c>
      <c r="B47" s="7"/>
      <c r="C47" s="7"/>
      <c r="D47" s="19"/>
      <c r="E47" s="17"/>
      <c r="F47" s="7"/>
      <c r="G47" s="13" t="e">
        <v>#N/A</v>
      </c>
      <c r="H47" s="12" t="e">
        <v>#N/A</v>
      </c>
      <c r="I47" s="16"/>
      <c r="J47" s="16"/>
      <c r="K47" s="44"/>
    </row>
    <row r="48" spans="1:11" x14ac:dyDescent="0.25">
      <c r="A48" s="7">
        <v>41</v>
      </c>
      <c r="B48" s="7"/>
      <c r="C48" s="7"/>
      <c r="D48" s="19"/>
      <c r="E48" s="17"/>
      <c r="F48" s="7"/>
      <c r="G48" s="13" t="e">
        <v>#N/A</v>
      </c>
      <c r="H48" s="12" t="e">
        <v>#N/A</v>
      </c>
      <c r="I48" s="16"/>
      <c r="J48" s="16"/>
      <c r="K48" s="44"/>
    </row>
    <row r="49" spans="1:11" x14ac:dyDescent="0.25">
      <c r="A49" s="7">
        <v>42</v>
      </c>
      <c r="B49" s="7"/>
      <c r="C49" s="7"/>
      <c r="D49" s="19"/>
      <c r="E49" s="17"/>
      <c r="F49" s="7"/>
      <c r="G49" s="13" t="e">
        <v>#N/A</v>
      </c>
      <c r="H49" s="12" t="e">
        <v>#N/A</v>
      </c>
      <c r="I49" s="16"/>
      <c r="J49" s="16"/>
      <c r="K49" s="44"/>
    </row>
    <row r="50" spans="1:11" x14ac:dyDescent="0.25">
      <c r="A50" s="7">
        <v>43</v>
      </c>
      <c r="B50" s="7"/>
      <c r="C50" s="7"/>
      <c r="D50" s="19"/>
      <c r="E50" s="17"/>
      <c r="F50" s="7"/>
      <c r="G50" s="13" t="e">
        <v>#N/A</v>
      </c>
      <c r="H50" s="12" t="e">
        <v>#N/A</v>
      </c>
      <c r="I50" s="16"/>
      <c r="J50" s="16"/>
      <c r="K50" s="44"/>
    </row>
    <row r="51" spans="1:11" x14ac:dyDescent="0.25">
      <c r="A51" s="7">
        <v>44</v>
      </c>
      <c r="B51" s="7"/>
      <c r="C51" s="7"/>
      <c r="D51" s="19"/>
      <c r="E51" s="17"/>
      <c r="F51" s="7"/>
      <c r="G51" s="13" t="e">
        <v>#N/A</v>
      </c>
      <c r="H51" s="12" t="e">
        <v>#N/A</v>
      </c>
      <c r="I51" s="16"/>
      <c r="J51" s="16"/>
      <c r="K51" s="44"/>
    </row>
    <row r="52" spans="1:11" x14ac:dyDescent="0.25">
      <c r="A52" s="7">
        <v>45</v>
      </c>
      <c r="B52" s="7"/>
      <c r="C52" s="7"/>
      <c r="D52" s="19"/>
      <c r="E52" s="17"/>
      <c r="F52" s="7"/>
      <c r="G52" s="13" t="e">
        <v>#N/A</v>
      </c>
      <c r="H52" s="12" t="e">
        <v>#N/A</v>
      </c>
      <c r="I52" s="16"/>
      <c r="J52" s="16"/>
      <c r="K52" s="44"/>
    </row>
    <row r="53" spans="1:11" x14ac:dyDescent="0.25">
      <c r="A53" s="7">
        <v>46</v>
      </c>
      <c r="B53" s="7"/>
      <c r="C53" s="7"/>
      <c r="D53" s="19"/>
      <c r="E53" s="17"/>
      <c r="F53" s="7"/>
      <c r="G53" s="13" t="e">
        <v>#N/A</v>
      </c>
      <c r="H53" s="12" t="e">
        <v>#N/A</v>
      </c>
      <c r="I53" s="16"/>
      <c r="J53" s="16"/>
      <c r="K53" s="44"/>
    </row>
    <row r="54" spans="1:11" x14ac:dyDescent="0.25">
      <c r="A54" s="7">
        <v>47</v>
      </c>
      <c r="B54" s="7"/>
      <c r="C54" s="7"/>
      <c r="D54" s="19"/>
      <c r="E54" s="17"/>
      <c r="F54" s="7"/>
      <c r="G54" s="13" t="e">
        <v>#N/A</v>
      </c>
      <c r="H54" s="12" t="e">
        <v>#N/A</v>
      </c>
      <c r="I54" s="16"/>
      <c r="J54" s="16"/>
      <c r="K54" s="44"/>
    </row>
    <row r="55" spans="1:11" x14ac:dyDescent="0.25">
      <c r="A55" s="7">
        <v>48</v>
      </c>
      <c r="B55" s="7"/>
      <c r="C55" s="7"/>
      <c r="D55" s="19"/>
      <c r="E55" s="17"/>
      <c r="F55" s="7"/>
      <c r="G55" s="13" t="e">
        <v>#N/A</v>
      </c>
      <c r="H55" s="12" t="e">
        <v>#N/A</v>
      </c>
      <c r="I55" s="16"/>
      <c r="J55" s="16"/>
      <c r="K55" s="44"/>
    </row>
    <row r="56" spans="1:11" x14ac:dyDescent="0.25">
      <c r="A56" s="7">
        <v>49</v>
      </c>
      <c r="B56" s="7"/>
      <c r="C56" s="7"/>
      <c r="D56" s="19"/>
      <c r="E56" s="17"/>
      <c r="F56" s="7"/>
      <c r="G56" s="13" t="e">
        <v>#N/A</v>
      </c>
      <c r="H56" s="12" t="e">
        <v>#N/A</v>
      </c>
      <c r="I56" s="16"/>
      <c r="J56" s="16"/>
      <c r="K56" s="44"/>
    </row>
    <row r="57" spans="1:11" x14ac:dyDescent="0.25">
      <c r="A57" s="7">
        <v>50</v>
      </c>
      <c r="B57" s="7"/>
      <c r="C57" s="7"/>
      <c r="D57" s="19"/>
      <c r="E57" s="17"/>
      <c r="F57" s="7"/>
      <c r="G57" s="13" t="e">
        <v>#N/A</v>
      </c>
      <c r="H57" s="12" t="e">
        <v>#N/A</v>
      </c>
      <c r="I57" s="16"/>
      <c r="J57" s="16"/>
      <c r="K57" s="45"/>
    </row>
    <row r="58" spans="1:11" x14ac:dyDescent="0.25">
      <c r="K58"/>
    </row>
    <row r="59" spans="1:11" x14ac:dyDescent="0.25">
      <c r="K59"/>
    </row>
  </sheetData>
  <mergeCells count="5">
    <mergeCell ref="K8:K57"/>
    <mergeCell ref="A1:D1"/>
    <mergeCell ref="A3:E3"/>
    <mergeCell ref="A4:E4"/>
    <mergeCell ref="A5:E5"/>
  </mergeCells>
  <conditionalFormatting sqref="H13:I57 H8:H12">
    <cfRule type="containsErrors" dxfId="40" priority="41" stopIfTrue="1">
      <formula>ISERROR(H8)</formula>
    </cfRule>
  </conditionalFormatting>
  <conditionalFormatting sqref="A4:B5">
    <cfRule type="containsErrors" dxfId="39" priority="40" stopIfTrue="1">
      <formula>ISERROR(A4)</formula>
    </cfRule>
  </conditionalFormatting>
  <conditionalFormatting sqref="J8:J57">
    <cfRule type="containsErrors" dxfId="38" priority="39" stopIfTrue="1">
      <formula>ISERROR(J8)</formula>
    </cfRule>
  </conditionalFormatting>
  <conditionalFormatting sqref="G8:G57">
    <cfRule type="containsErrors" dxfId="37" priority="38" stopIfTrue="1">
      <formula>ISERROR(G8)</formula>
    </cfRule>
  </conditionalFormatting>
  <conditionalFormatting sqref="G9:G57">
    <cfRule type="containsErrors" dxfId="36" priority="37" stopIfTrue="1">
      <formula>ISERROR(G9)</formula>
    </cfRule>
  </conditionalFormatting>
  <conditionalFormatting sqref="H9:H57">
    <cfRule type="containsErrors" dxfId="35" priority="36" stopIfTrue="1">
      <formula>ISERROR(H9)</formula>
    </cfRule>
  </conditionalFormatting>
  <conditionalFormatting sqref="I13:I57">
    <cfRule type="containsErrors" dxfId="34" priority="35" stopIfTrue="1">
      <formula>ISERROR(I13)</formula>
    </cfRule>
  </conditionalFormatting>
  <conditionalFormatting sqref="H28:I28 I29:I31">
    <cfRule type="containsErrors" dxfId="33" priority="34" stopIfTrue="1">
      <formula>ISERROR(H28)</formula>
    </cfRule>
  </conditionalFormatting>
  <conditionalFormatting sqref="G28">
    <cfRule type="containsErrors" dxfId="32" priority="33" stopIfTrue="1">
      <formula>ISERROR(G28)</formula>
    </cfRule>
  </conditionalFormatting>
  <conditionalFormatting sqref="G29:G31">
    <cfRule type="containsErrors" dxfId="31" priority="32" stopIfTrue="1">
      <formula>ISERROR(G29)</formula>
    </cfRule>
  </conditionalFormatting>
  <conditionalFormatting sqref="H29:H31">
    <cfRule type="containsErrors" dxfId="30" priority="31" stopIfTrue="1">
      <formula>ISERROR(H29)</formula>
    </cfRule>
  </conditionalFormatting>
  <conditionalFormatting sqref="I29:I31">
    <cfRule type="containsErrors" dxfId="29" priority="30" stopIfTrue="1">
      <formula>ISERROR(I29)</formula>
    </cfRule>
  </conditionalFormatting>
  <conditionalFormatting sqref="H13:I57 H8:H12">
    <cfRule type="containsErrors" dxfId="28" priority="29" stopIfTrue="1">
      <formula>ISERROR(H8)</formula>
    </cfRule>
  </conditionalFormatting>
  <conditionalFormatting sqref="G8:G57">
    <cfRule type="containsErrors" dxfId="27" priority="28" stopIfTrue="1">
      <formula>ISERROR(G8)</formula>
    </cfRule>
  </conditionalFormatting>
  <conditionalFormatting sqref="J8:J57">
    <cfRule type="containsErrors" dxfId="26" priority="27" stopIfTrue="1">
      <formula>ISERROR(J8)</formula>
    </cfRule>
  </conditionalFormatting>
  <conditionalFormatting sqref="J9:J57">
    <cfRule type="containsErrors" dxfId="25" priority="26" stopIfTrue="1">
      <formula>ISERROR(J9)</formula>
    </cfRule>
  </conditionalFormatting>
  <conditionalFormatting sqref="J28:J31">
    <cfRule type="containsErrors" dxfId="24" priority="25" stopIfTrue="1">
      <formula>ISERROR(J28)</formula>
    </cfRule>
  </conditionalFormatting>
  <conditionalFormatting sqref="J29:J31">
    <cfRule type="containsErrors" dxfId="23" priority="24" stopIfTrue="1">
      <formula>ISERROR(J29)</formula>
    </cfRule>
  </conditionalFormatting>
  <conditionalFormatting sqref="J8:J57">
    <cfRule type="containsErrors" dxfId="22" priority="23" stopIfTrue="1">
      <formula>ISERROR(J8)</formula>
    </cfRule>
  </conditionalFormatting>
  <conditionalFormatting sqref="I8:I10">
    <cfRule type="containsErrors" dxfId="21" priority="22" stopIfTrue="1">
      <formula>ISERROR(I8)</formula>
    </cfRule>
  </conditionalFormatting>
  <conditionalFormatting sqref="I9">
    <cfRule type="containsErrors" dxfId="20" priority="21" stopIfTrue="1">
      <formula>ISERROR(I9)</formula>
    </cfRule>
  </conditionalFormatting>
  <conditionalFormatting sqref="I8:I10">
    <cfRule type="containsErrors" dxfId="19" priority="20" stopIfTrue="1">
      <formula>ISERROR(I8)</formula>
    </cfRule>
  </conditionalFormatting>
  <conditionalFormatting sqref="I10">
    <cfRule type="containsErrors" dxfId="18" priority="19" stopIfTrue="1">
      <formula>ISERROR(I10)</formula>
    </cfRule>
  </conditionalFormatting>
  <conditionalFormatting sqref="I10">
    <cfRule type="containsErrors" dxfId="17" priority="18" stopIfTrue="1">
      <formula>ISERROR(I10)</formula>
    </cfRule>
  </conditionalFormatting>
  <conditionalFormatting sqref="I10">
    <cfRule type="containsErrors" dxfId="16" priority="17" stopIfTrue="1">
      <formula>ISERROR(I10)</formula>
    </cfRule>
  </conditionalFormatting>
  <conditionalFormatting sqref="I8 I10">
    <cfRule type="containsErrors" dxfId="15" priority="16" stopIfTrue="1">
      <formula>ISERROR(I8)</formula>
    </cfRule>
  </conditionalFormatting>
  <conditionalFormatting sqref="I9">
    <cfRule type="containsErrors" dxfId="14" priority="15" stopIfTrue="1">
      <formula>ISERROR(I9)</formula>
    </cfRule>
  </conditionalFormatting>
  <conditionalFormatting sqref="I9">
    <cfRule type="containsErrors" dxfId="13" priority="14" stopIfTrue="1">
      <formula>ISERROR(I9)</formula>
    </cfRule>
  </conditionalFormatting>
  <conditionalFormatting sqref="I9">
    <cfRule type="containsErrors" dxfId="12" priority="13" stopIfTrue="1">
      <formula>ISERROR(I9)</formula>
    </cfRule>
  </conditionalFormatting>
  <conditionalFormatting sqref="I11">
    <cfRule type="containsErrors" dxfId="11" priority="12" stopIfTrue="1">
      <formula>ISERROR(I11)</formula>
    </cfRule>
  </conditionalFormatting>
  <conditionalFormatting sqref="I11">
    <cfRule type="containsErrors" dxfId="10" priority="11" stopIfTrue="1">
      <formula>ISERROR(I11)</formula>
    </cfRule>
  </conditionalFormatting>
  <conditionalFormatting sqref="I11">
    <cfRule type="containsErrors" dxfId="9" priority="10" stopIfTrue="1">
      <formula>ISERROR(I11)</formula>
    </cfRule>
  </conditionalFormatting>
  <conditionalFormatting sqref="I11">
    <cfRule type="containsErrors" dxfId="8" priority="9" stopIfTrue="1">
      <formula>ISERROR(I11)</formula>
    </cfRule>
  </conditionalFormatting>
  <conditionalFormatting sqref="I11">
    <cfRule type="containsErrors" dxfId="7" priority="8" stopIfTrue="1">
      <formula>ISERROR(I11)</formula>
    </cfRule>
  </conditionalFormatting>
  <conditionalFormatting sqref="I11">
    <cfRule type="containsErrors" dxfId="6" priority="7" stopIfTrue="1">
      <formula>ISERROR(I11)</formula>
    </cfRule>
  </conditionalFormatting>
  <conditionalFormatting sqref="I12">
    <cfRule type="containsErrors" dxfId="5" priority="6" stopIfTrue="1">
      <formula>ISERROR(I12)</formula>
    </cfRule>
  </conditionalFormatting>
  <conditionalFormatting sqref="I12">
    <cfRule type="containsErrors" dxfId="4" priority="5" stopIfTrue="1">
      <formula>ISERROR(I12)</formula>
    </cfRule>
  </conditionalFormatting>
  <conditionalFormatting sqref="I12">
    <cfRule type="containsErrors" dxfId="3" priority="4" stopIfTrue="1">
      <formula>ISERROR(I12)</formula>
    </cfRule>
  </conditionalFormatting>
  <conditionalFormatting sqref="I12">
    <cfRule type="containsErrors" dxfId="2" priority="3" stopIfTrue="1">
      <formula>ISERROR(I12)</formula>
    </cfRule>
  </conditionalFormatting>
  <conditionalFormatting sqref="I12">
    <cfRule type="containsErrors" dxfId="1" priority="2" stopIfTrue="1">
      <formula>ISERROR(I12)</formula>
    </cfRule>
  </conditionalFormatting>
  <conditionalFormatting sqref="I12">
    <cfRule type="containsErrors" dxfId="0" priority="1" stopIfTrue="1">
      <formula>ISERROR(I12)</formula>
    </cfRule>
  </conditionalFormatting>
  <pageMargins left="0.7" right="0.7" top="0.78740157499999996" bottom="0.78740157499999996" header="0.3" footer="0.3"/>
  <pageSetup paperSize="9" orientation="portrait" r:id="rId1"/>
  <customProperties>
    <customPr name="EpmWorksheetKeyString_GU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ba0da34-d2b3-4f1b-be45-2a42bee2b541">
      <Terms xmlns="http://schemas.microsoft.com/office/infopath/2007/PartnerControls"/>
    </lcf76f155ced4ddcb4097134ff3c332f>
    <TaxCatchAll xmlns="56810815-8df0-4f10-8da7-34164765fbe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45148A9508B349BC22E02AEF2EBF6E" ma:contentTypeVersion="18" ma:contentTypeDescription="Create a new document." ma:contentTypeScope="" ma:versionID="b5080f824629c0261e93e37f21eeb59e">
  <xsd:schema xmlns:xsd="http://www.w3.org/2001/XMLSchema" xmlns:xs="http://www.w3.org/2001/XMLSchema" xmlns:p="http://schemas.microsoft.com/office/2006/metadata/properties" xmlns:ns2="1ba0da34-d2b3-4f1b-be45-2a42bee2b541" xmlns:ns3="aa74e7e9-d58b-480b-badd-14f1fee5aa2c" xmlns:ns4="56810815-8df0-4f10-8da7-34164765fbe3" targetNamespace="http://schemas.microsoft.com/office/2006/metadata/properties" ma:root="true" ma:fieldsID="cdf049becd7eb73d3f5866179e687fa0" ns2:_="" ns3:_="" ns4:_="">
    <xsd:import namespace="1ba0da34-d2b3-4f1b-be45-2a42bee2b541"/>
    <xsd:import namespace="aa74e7e9-d58b-480b-badd-14f1fee5aa2c"/>
    <xsd:import namespace="56810815-8df0-4f10-8da7-34164765fb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a0da34-d2b3-4f1b-be45-2a42bee2b5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e63edab7-d5f1-4c02-989a-0e8ed7c6c38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74e7e9-d58b-480b-badd-14f1fee5aa2c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810815-8df0-4f10-8da7-34164765fbe3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ad78cb96-82c0-487e-8fe8-2776728db194}" ma:internalName="TaxCatchAll" ma:showField="CatchAllData" ma:web="aa74e7e9-d58b-480b-badd-14f1fee5aa2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0BEDF8-D7FE-4B29-9B64-8AD866351A16}">
  <ds:schemaRefs>
    <ds:schemaRef ds:uri="http://purl.org/dc/elements/1.1/"/>
    <ds:schemaRef ds:uri="1ba0da34-d2b3-4f1b-be45-2a42bee2b541"/>
    <ds:schemaRef ds:uri="56810815-8df0-4f10-8da7-34164765fbe3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aa74e7e9-d58b-480b-badd-14f1fee5aa2c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DB9BE37-B815-4A77-AFE2-D2D26D73107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C2E278-2E21-470D-9A79-4C8029DBF6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a0da34-d2b3-4f1b-be45-2a42bee2b541"/>
    <ds:schemaRef ds:uri="aa74e7e9-d58b-480b-badd-14f1fee5aa2c"/>
    <ds:schemaRef ds:uri="56810815-8df0-4f10-8da7-34164765fb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a59b6cd5-d141-4a33-8bf1-0ca04484304f}" enabled="1" method="Standard" siteId="{38ae3bcd-9579-4fd4-adda-b42e1495d5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</vt:i4>
      </vt:variant>
    </vt:vector>
  </HeadingPairs>
  <TitlesOfParts>
    <vt:vector size="10" baseType="lpstr">
      <vt:lpstr>Erfassungsblatt</vt:lpstr>
      <vt:lpstr>Abfallcode</vt:lpstr>
      <vt:lpstr>BSPs</vt:lpstr>
      <vt:lpstr>Produkte</vt:lpstr>
      <vt:lpstr>Releasenotes</vt:lpstr>
      <vt:lpstr>Parameter</vt:lpstr>
      <vt:lpstr>Mail_Entsorgung</vt:lpstr>
      <vt:lpstr>BSPnn</vt:lpstr>
      <vt:lpstr>Erfassungsblatt!Druckbereich</vt:lpstr>
      <vt:lpstr>Produkt</vt:lpstr>
    </vt:vector>
  </TitlesOfParts>
  <Manager/>
  <Company>Siemens AG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martin.kobsik@siemens.com</dc:creator>
  <cp:keywords/>
  <dc:description/>
  <cp:lastModifiedBy>Pertl, Andreas (RC-AT IT UIT)</cp:lastModifiedBy>
  <cp:revision/>
  <dcterms:created xsi:type="dcterms:W3CDTF">2016-07-06T17:10:38Z</dcterms:created>
  <dcterms:modified xsi:type="dcterms:W3CDTF">2025-12-01T12:14:00Z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0x0101007745148A9508B349BC22E02AEF2EBF6E</vt:lpwstr>
  </property>
  <property fmtid="{D5CDD505-2E9C-101B-9397-08002B2CF9AE}" pid="4" name="MSIP_Label_a59b6cd5-d141-4a33-8bf1-0ca04484304f_Enabled">
    <vt:lpwstr>true</vt:lpwstr>
  </property>
  <property fmtid="{D5CDD505-2E9C-101B-9397-08002B2CF9AE}" pid="5" name="MSIP_Label_a59b6cd5-d141-4a33-8bf1-0ca04484304f_SetDate">
    <vt:lpwstr>2022-02-14T14:05:05Z</vt:lpwstr>
  </property>
  <property fmtid="{D5CDD505-2E9C-101B-9397-08002B2CF9AE}" pid="6" name="MSIP_Label_a59b6cd5-d141-4a33-8bf1-0ca04484304f_Method">
    <vt:lpwstr>Standard</vt:lpwstr>
  </property>
  <property fmtid="{D5CDD505-2E9C-101B-9397-08002B2CF9AE}" pid="7" name="MSIP_Label_a59b6cd5-d141-4a33-8bf1-0ca04484304f_Name">
    <vt:lpwstr>restricted-default</vt:lpwstr>
  </property>
  <property fmtid="{D5CDD505-2E9C-101B-9397-08002B2CF9AE}" pid="8" name="MSIP_Label_a59b6cd5-d141-4a33-8bf1-0ca04484304f_SiteId">
    <vt:lpwstr>38ae3bcd-9579-4fd4-adda-b42e1495d55a</vt:lpwstr>
  </property>
  <property fmtid="{D5CDD505-2E9C-101B-9397-08002B2CF9AE}" pid="9" name="MSIP_Label_a59b6cd5-d141-4a33-8bf1-0ca04484304f_ActionId">
    <vt:lpwstr>0f22737c-d826-4590-b85e-310e0d3a704c</vt:lpwstr>
  </property>
  <property fmtid="{D5CDD505-2E9C-101B-9397-08002B2CF9AE}" pid="10" name="MSIP_Label_a59b6cd5-d141-4a33-8bf1-0ca04484304f_ContentBits">
    <vt:lpwstr>0</vt:lpwstr>
  </property>
  <property fmtid="{D5CDD505-2E9C-101B-9397-08002B2CF9AE}" pid="11" name="Document_Confidentiality">
    <vt:lpwstr>Restricted</vt:lpwstr>
  </property>
  <property fmtid="{D5CDD505-2E9C-101B-9397-08002B2CF9AE}" pid="12" name="MediaServiceImageTags">
    <vt:lpwstr/>
  </property>
</Properties>
</file>